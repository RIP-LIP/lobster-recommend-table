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异想体推荐表" sheetId="1" r:id="rId1"/>
    <sheet name="加班计算器" sheetId="2" r:id="rId2"/>
    <sheet name="(备份用误点)" sheetId="3" r:id="rId3"/>
  </sheets>
  <definedNames>
    <definedName name="_xlnm._FilterDatabase" localSheetId="0" hidden="1">异想体推荐表!$A$2:$H$170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tc={F0D383F7-4601-4AC1-89CB-86A4050AB244}</author>
    <author>tc={2D3611FC-522C-4281-B2AA-52FECED61464}</author>
    <author>tc={8F1DCDFF-6770-4826-AC90-45B31491B5B8}</author>
    <author>tc={F596A38F-6D93-4430-A0C3-74513498BA74}</author>
    <author>tc={0956EA8A-18E2-4CDE-B490-F0A798F09B63}</author>
    <author>tc={988C4292-C2B7-425A-9230-F23D8D24EF74}</author>
    <author>tc={69428D99-3BCD-424E-9D60-F6A3418B4D4E}</author>
    <author>tc={77D9B8A0-AC4E-44DF-A92D-1A022F97293F}</author>
    <author>tc={0DF99750-2169-4B91-9269-6EF326B40390}</author>
    <author>tc={D75A07B3-131C-48EF-8AD9-B0571BE168BF}</author>
    <author>tc={BA262E99-B946-43C1-86FD-8E8CB0D1D7A1}</author>
    <author>tc={D77D7899-5181-4342-A3C8-821D236492D6}</author>
    <author>tc={855BB64D-4000-4D31-95E9-2D070F4145F0}</author>
    <author>tc={56D5A34F-9EA8-4D1A-90BA-930B69F1856E}</author>
    <author>tc={313126B7-06F8-4246-B66D-39B87BECA1F0}</author>
    <author>tc={0B2A41C0-D190-45AE-BF2B-9D83094EDB8E}</author>
    <author>tc={06BCF1AC-4EB7-49A2-A354-C2B5DB700B5F}</author>
    <author>tc={C89E8155-F4CB-4CAA-9733-29673C42F996}</author>
    <author>tc={8A77135B-0956-42DC-A9CA-3B24B1F4B244}</author>
    <author>tc={88676280-5E6B-4587-9D6E-8835EB80CE47}</author>
    <author>tc={D2614844-AB40-4967-933C-E3515980A41F}</author>
    <author>tc={ADB4B650-C2B7-4093-BCDC-390B37E70A36}</author>
    <author>tc={5A240648-BC84-47CD-8792-DBCA71646AD1}</author>
    <author>tc={2D1872EA-B09F-40F0-BD6A-6E46D2A4A88C}</author>
    <author>tc={D830D065-B342-4959-A36B-6D48B39ADBAA}</author>
    <author>tc={108153B8-6732-4418-8F24-749D85FD6AA7}</author>
    <author>tc={D967C579-7B5A-424E-A3CB-927F7FBE65B5}</author>
    <author>tc={ADD22DE0-EE70-4780-968E-819379169EE1}</author>
    <author>tc={16BB69E3-EF5A-41F1-9894-F9B2A2B5948B}</author>
    <author>tc={CB6EDD75-F23C-43F9-8C77-093A6A1A253B}</author>
    <author>tc={F7595640-E2A4-42D7-B38E-138582D34829}</author>
    <author>tc={7C0EEA7A-9306-4C6A-B687-77B1EAF4F9F3}</author>
    <author>tc={40938821-CC51-42C4-A314-2AE1900982C9}</author>
    <author>tc={95EF83F1-7D2C-4C3F-AE5D-0C7B71580B86}</author>
    <author>tc={3ABE7B88-3E46-4F42-B542-F9E36BBF8934}</author>
    <author>tc={86E80E24-B105-4C68-BE52-64990A7FFD88}</author>
    <author>tc={6E4E7D88-934D-4DC2-895D-90D0DD34D834}</author>
    <author>tc={977B1BB6-E669-4538-814C-D9D72752CF85}</author>
    <author>tc={21BCCCDE-CE7A-492A-AE73-4B83E8C2F111}</author>
    <author>tc={72CEDC8E-0F35-422B-8EE1-7F2B5DB23D3D}</author>
    <author>tc={28147F16-2980-48D9-9271-E5DF54FD94F5}</author>
    <author>tc={E5A15204-BD20-4FB5-8AD8-96EAC0C4B478}</author>
    <author>tc={1768CD0E-BBB8-4EA1-A6EE-DF9D544CDA38}</author>
    <author>tc={3B137D57-4884-483D-A112-93AFAE125A9D}</author>
    <author>tc={56839C80-F4E0-47A5-BA03-87319E2A0942}</author>
    <author>tc={8BC87210-F257-48FE-B30A-BE36893E2F64}</author>
    <author>tc={AB40DC9D-DD62-4063-A5CF-AE70D02D1F1D}</author>
    <author>tc={43C6D85E-5776-4673-9AAF-819346B4BB54}</author>
    <author>tc={EF693A12-C32D-4EBF-9B91-184D9CF112A0}</author>
    <author>tc={B866B61E-C8C2-4F4E-A0A1-EAB1347EC335}</author>
    <author>tc={86563A61-AD2B-4D24-9800-20016B1328DF}</author>
    <author>tc={6ADA2F13-A92D-4B88-9A0F-7BE63AB1B913}</author>
    <author>tc={FB0620C4-7866-41A8-AFDC-969C89E87466}</author>
    <author>tc={EBE02094-9F0F-471F-A927-B3AED4633042}</author>
    <author>tc={0F702FED-2955-4413-BB32-47F5EBC72569}</author>
    <author>tc={3CB5D6F6-C45F-406C-9EF7-B916C9D7C3E5}</author>
    <author>tc={46D9D489-7AD1-448A-A7C8-261475EAD815}</author>
    <author>tc={7071C4F8-9548-4ABC-A5B3-6619BB5E2AC4}</author>
    <author>tc={5C92748D-09FB-4D1A-A076-F1ED79B6F523}</author>
    <author>tc={E4ED4B65-0E5C-4C83-BD21-7C52657AD828}</author>
    <author>tc={87E396A2-9FE0-43A2-B4AF-B8267984315E}</author>
    <author>tc={B036D0D8-B97C-4BF5-BA88-AB2888ED0CFC}</author>
    <author>tc={FB2FFD89-7C94-4827-A6D6-4FC85E40BF7A}</author>
    <author>tc={1720BF0D-3B02-475C-8229-7C2A46E6548C}</author>
    <author>tc={2E3C4963-0DEF-495D-BCE6-77BDB46B99D2}</author>
    <author>tc={2C29AB91-67E8-4519-A74E-C306C5396231}</author>
    <author>tc={8BF978FE-5971-4C2D-B847-9AB6F5764158}</author>
    <author>tc={BEC3FE5E-D71D-4DB1-AB0D-23B9344BA94A}</author>
    <author>tc={98FD4561-60EB-45A3-BBFC-B23E78EA53AA}</author>
    <author>tc={8EF84427-24D1-49CD-9570-D0B99AF65E01}</author>
    <author>tc={5BE513A4-39D0-4F41-8A7E-6898BA3A730C}</author>
    <author>tc={47597C8B-A4B5-4093-9072-EC19FF532C98}</author>
    <author>tc={47B669D7-B6C7-4E1E-AF18-4D28DDC2394B}</author>
    <author>tc={550F6BB7-4D84-4E51-8862-16B142AC5AD9}</author>
    <author>tc={EFD140E4-5634-48D6-B0DA-F98AFA924835}</author>
    <author>tc={59FEDA2B-693A-43E2-ADDF-06CA2C372010}</author>
    <author>tc={CF01A409-9CA7-4E09-BCE1-8780BFA30A54}</author>
    <author>tc={23F94C9E-F2B8-4910-9D2C-68D8184D30EB}</author>
    <author>tc={945AEA77-80ED-4774-8AB5-7266737F4792}</author>
    <author>tc={254DB4BA-FBF5-46AA-B937-81B9C76C33D2}</author>
    <author>tc={E82BDF9E-5294-47B1-8F48-B43B45577171}</author>
    <author>tc={BDC3D91A-0E6B-4F14-B84C-286E76FF1A34}</author>
    <author>tc={A52562DA-10C1-4DCF-A762-3E3ACB0EDF8E}</author>
    <author>tc={E9EF34C0-D0E9-4170-91BF-A501F372D22C}</author>
    <author>tc={5E3EF269-12A5-49DB-8B7E-6FCCCAC32D1B}</author>
    <author>tc={9E1EAB3F-9487-4A41-BDAA-3D3A48D3961B}</author>
    <author>tc={4FBCE954-6806-4BE5-BBB4-1BB6B8378A69}</author>
    <author>tc={2879A87C-4674-45B5-8AFE-D4979567B8A8}</author>
    <author>tc={E3F9C97A-7F59-45BD-A9A9-3221782AD159}</author>
    <author>tc={A743EE42-BBCB-4CF4-B9E4-43927E2D7813}</author>
    <author>tc={BBAD9F7F-588D-47CD-B3B1-2B3510888ED4}</author>
    <author>tc={6784282E-D7DC-4A0A-8C85-3F5107724374}</author>
    <author>tc={9E932CED-9FA2-4592-9C39-ACA64AE1F3A3}</author>
    <author>tc={5C646462-AA52-465B-ABB9-164EDF90A629}</author>
    <author>tc={407531A6-3C71-496B-A97E-B3FEC03FC734}</author>
    <author>tc={6D8B8166-E2A6-47DA-BFC7-F179EA8D1BB0}</author>
    <author>tc={BBC1C38F-C8E5-4D90-AC4E-6FF9DB6DD46E}</author>
    <author>tc={C22B5226-9758-4965-AFF1-945226B72744}</author>
    <author>tc={6A2AFFCB-CDAD-4B7B-8957-B55CB8502DFE}</author>
    <author>tc={3B6C3C42-9C85-4F81-A342-B6A59CA34FFD}</author>
    <author>tc={7A360EB0-BA75-4F2E-89BC-DCECAD2E5BD5}</author>
    <author>tc={22D2A5DB-E232-4319-BC1D-0D84D4C83348}</author>
    <author>tc={94C59017-8C79-4FE6-928E-FA8E61623042}</author>
    <author>tc={8CC8CBE0-372B-4B53-B65D-49B732BB9852}</author>
    <author>tc={58FDCED8-7929-49DC-937D-8161748573B2}</author>
    <author>tc={6671D1AC-7120-47E0-A387-24647F7BC946}</author>
    <author>tc={68AA9D77-EAE6-4B1A-BE4E-1097883545E2}</author>
    <author>tc={28CF9AF1-0F58-4E15-AC73-DCA84894B447}</author>
    <author>tc={50CEBF15-A4B8-42AF-933C-8103F080C56F}</author>
    <author>tc={2CE09D50-BDD5-4DDD-9DE1-1A61C236109B}</author>
    <author>tc={1E35450D-B6D9-40C6-84A2-333797339AD7}</author>
    <author>tc={876FBB9B-9C6D-4B41-983C-BFBA6111DC10}</author>
    <author>tc={B4C5696F-94A7-4850-B58C-669CA661911C}</author>
    <author>tc={FF209FCA-C25E-497F-B2B8-1F200A18E887}</author>
    <author>tc={D404EDA5-FDBD-4F87-970B-588B601D7C37}</author>
    <author>tc={2C1F4A94-45F1-4ECD-95D1-962633AFFB75}</author>
    <author>tc={40736A82-37A2-471D-AC74-FE9DAAF3C0A4}</author>
    <author>tc={747C93C7-CF1F-48A8-8BB5-8DD8872E8C61}</author>
    <author>tc={9767A69F-F35C-4341-8129-0C98FABA41DE}</author>
    <author>tc={E1DEC2EA-93D1-45AD-8DBF-B5A6D341D5F5}</author>
    <author>tc={B02F25F0-4467-406C-8BE2-9F10D00EF4EB}</author>
    <author>tc={76F0F20A-E538-4137-9E1B-84F9CA323498}</author>
    <author>tc={C789D1C2-13AE-4212-9FDE-5620315DF1D9}</author>
    <author>tc={72F3A95C-EBF2-49A6-A90B-A4DA0BDE2A2B}</author>
    <author>tc={DC37AC85-AB5C-433F-8EA1-DCC7822D1AC7}</author>
    <author>tc={088EB664-F05B-4913-B396-A98EF0B24884}</author>
    <author>tc={827A4869-1F18-40CF-A688-E37247C28F91}</author>
    <author>tc={9DC6C2F5-36C6-4AEB-B3FD-106F1EDDF539}</author>
    <author>tc={AEE20829-CDB6-42EC-8669-057AE23781AA}</author>
    <author>tc={DEB755EE-A6C0-461F-959C-01CC27924D17}</author>
    <author>tc={7313B0CB-1510-4644-A273-10A5D2D40259}</author>
    <author>tc={310EB164-AE8B-48A8-AF8F-E5F9F6641898}</author>
    <author>tc={E84912CC-E9C1-47BD-B130-1029F87818CA}</author>
    <author>tc={C8B20FD2-B30B-4D29-9337-F8B03694643C}</author>
    <author>tc={FD77A541-8143-4986-ACEE-05E28D426295}</author>
    <author>tc={BE89C82F-9E30-4012-B9D8-94E360C63F5C}</author>
    <author>tc={FEBC94DE-F604-44E2-9ABB-6C7C7380423B}</author>
    <author>tc={CE6DB06D-CC82-4046-A929-3222F2A00A92}</author>
    <author>tc={4066DE9B-FF8B-474E-81A6-531702064E35}</author>
    <author>tc={7A975A44-5E5B-4A57-BDD7-3262D2E562DE}</author>
    <author>tc={42AEDAD0-DDF8-498A-9D5F-5547CBE22BA1}</author>
    <author>tc={F9E7A266-99B9-4A85-BF18-61012B4E0959}</author>
    <author>tc={C085F2C4-AACD-40C7-BBAE-88D62D2CB719}</author>
    <author>tc={004855AE-036D-4C7F-B3F0-739F1AB1D39B}</author>
    <author>tc={97D1F313-A2F3-4B9D-AA13-43ABE1970C25}</author>
    <author>tc={020F511F-6AD3-4782-A0F5-621997006754}</author>
    <author>tc={837345D3-BAF4-4A04-8EEE-CC97DDBCFC40}</author>
    <author>tc={703E8D34-F120-4E50-8CDB-D6E8D8D04481}</author>
    <author>tc={20B0DB3B-E036-4D71-87C6-0E9EFC72BB9E}</author>
    <author>tc={2BCBE4E0-184B-4716-ABDA-35FD229FD03A}</author>
    <author>tc={F1CECE71-4FBC-4351-8938-93B090764DC5}</author>
    <author>tc={BFEBA4E0-E76B-4197-88D6-D50FF38D6456}</author>
    <author>tc={8F663FD4-19D0-493C-A3F7-79E028C8314D}</author>
    <author>tc={0A0A4C65-FCFE-4EA3-8EE9-9C540ED6AC62}</author>
    <author>tc={4C839045-EF7F-4B34-AC05-A3F70D1BDB6B}</author>
    <author>tc={122DC443-3922-433A-A369-B0130407B60B}</author>
    <author>tc={2A869DB1-360F-4264-A71F-3CE7AEDF351E}</author>
    <author>tc={954F652D-EA79-4321-A4F2-06266B5A3E75}</author>
    <author>tc={2FE1AF45-31E6-4750-B291-0838C0B926EE}</author>
    <author>tc={BDA11633-6D59-447B-B3B2-F72F48EDCAC1}</author>
    <author>tc={579D9231-CEFF-4FDE-8B83-F51963A49009}</author>
    <author>tc={1741CB48-B8F6-4010-83DB-621013C55472}</author>
    <author>tc={4C565A4C-3DDC-44F1-95D3-2E40BDAAC627}</author>
    <author>tc={48901D0A-FA5A-46AA-A0B4-ADEEE327F191}</author>
    <author>tc={A8C60225-2C0D-4A2C-B33C-9078FAE18A95}</author>
    <author>tc={5F290743-9000-48E1-A125-F7817C690C0D}</author>
    <author>tc={E164C73E-21FB-44B9-8D84-D8A6684DC989}</author>
    <author>tc={E4686809-2999-43DD-BA8F-BE68BD4F357F}</author>
    <author>tc={4DA82D98-6A22-4815-B91B-367D393D507B}</author>
    <author>tc={5B499494-3416-4A93-9CB7-F0B7B70548CC}</author>
    <author>tc={8CE0F67E-BFAC-48E2-B37D-7B48B046C2FB}</author>
    <author>tc={76E4C606-5CDD-4AEB-90B6-BC3344B4DC81}</author>
    <author>tc={21555B75-EC5E-4BF7-BA6B-B1EE8DEEE2B8}</author>
    <author>tc={B91B3588-D659-4195-8215-AD859FC94402}</author>
    <author>tc={D9AD2238-3CE6-40DF-9207-7F8A60D229FA}</author>
    <author>tc={B61576B0-90F4-4D14-B7F0-2B2D399AC7B2}</author>
    <author>tc={86A94B98-73D7-4D3D-AA46-296691766769}</author>
    <author>tc={70DA5B3F-6E44-49E0-8E81-C30E533E9F9B}</author>
    <author>tc={4C2DA247-BC32-4426-B4CC-CCE3A9986889}</author>
    <author>tc={BFCA2DD4-BB52-40A2-A562-C222655CFD0D}</author>
    <author>tc={5F9D6BF0-002D-4689-9D23-82491C46DC77}</author>
    <author>tc={3DB8965D-B645-4576-8F39-5B4AD938A07B}</author>
    <author>tc={95845F1A-6DC7-4C1A-B1B7-3C2DD5A74B06}</author>
    <author>tc={33F45303-AB7C-45E9-AEF4-6BE8E2E45087}</author>
    <author>tc={1F45556F-906D-4131-A007-4562E552F9C8}</author>
    <author>tc={CE830B47-EEF9-491E-ACD8-84A3140DF1D2}</author>
  </authors>
  <commentList>
    <comment ref="G1" authorId="0">
      <text>
        <r>
          <rPr>
            <sz val="10"/>
            <rFont val="宋体"/>
            <charset val="134"/>
          </rPr>
          <t>建议添加印象体饰品数据与特殊功能</t>
        </r>
      </text>
    </comment>
    <comment ref="F2" authorId="1">
      <text>
        <r>
          <rPr>
            <sz val="10"/>
            <rFont val="宋体"/>
            <charset val="134"/>
          </rPr>
          <t>特化型防具适合保姆型角色（特指那些专门用于镇压某些频繁出逃异想体的员工）建议用红白紫蓝简单写出抗性，不需要附加伤害类型图标T级标准：
大体按三抗来分
差为0.8 0.8 1.5 与 0.6 1.0 1.2
良为0.7 0.8 1.2
优为0.6 0.7 1.2与均衡甲
但考虑到前期应对考验，红伤较多
红抗较高会调高一个等级(如焦化少女)
红抗较低会调低一个等级(如1.76)"H级标准：
优：均衡甲
良：0.5 0.8 1.2与0.6 0.8 1.3
差：0.8 0.8 1.2W级标准：
优：红白黑三抗均不弱，且蓝抗为1.5
良：红白黑三抗均不弱，蓝抗为2.0
差：红白黑三抗中有弱抗A级标准
除了失乐园薄暝全给了良
有A上A，差异不大
一些特化抗性的根据需要选就行</t>
        </r>
      </text>
    </comment>
    <comment ref="B3" authorId="2">
      <text>
        <r>
          <rPr>
            <sz val="10"/>
            <rFont val="宋体"/>
            <charset val="134"/>
          </rPr>
          <t>建议新手还是拿一两个，员工疯了可以揍回去，bu ran</t>
        </r>
      </text>
    </comment>
    <comment ref="D4" authorId="3">
      <text>
        <r>
          <rPr>
            <sz val="10"/>
            <rFont val="宋体"/>
            <charset val="134"/>
          </rPr>
          <t>其实如果是出逃后无论标记到了谁直接让员工远离该房间，然后派几个远程跟在后面镇压就好了，血的话还算脆仅限前期
后期靠控制被标记的那个人
就那速度分分钟就打死索敌机制是所在部门文职和员工，所以要和其他部门员工互换然后堵门（要求有一定恢复能力，就可以加班挂机），一出来索超远处的敌人，堵门员工就能打死。前期这个家伙自爆300红伤，如果刮不死，碰到带火苗的员工之后有五秒钟的时间跑</t>
        </r>
      </text>
    </comment>
    <comment ref="G4" authorId="4">
      <text>
        <r>
          <rPr>
            <sz val="10"/>
            <rFont val="宋体"/>
            <charset val="134"/>
          </rPr>
          <t>大多都是标记文职 有的时候会忘记</t>
        </r>
      </text>
    </comment>
    <comment ref="D5" authorId="5">
      <text>
        <r>
          <rPr>
            <sz val="10"/>
            <rFont val="宋体"/>
            <charset val="134"/>
          </rPr>
          <t>永不出逃，即使融毁也没有额外的负面影响工作速度快，可以用于触发考验为啥我的两个员工去和老骷髅说话直接被噶了？而且都是4级员工？那你肯定时被匹夫之勇了如果白夜（疫医）出逃打不死请看看它匹夫之勇或精灵盛宴或小女孩吧                      说实话老骨头在一些极其极端的情况下（比如员工精神值马上归零又读了启示录）是会造成伤亡的，不过没有考虑必要</t>
        </r>
      </text>
    </comment>
    <comment ref="F6" authorId="6">
      <text>
        <r>
          <rPr>
            <sz val="10"/>
            <rFont val="宋体"/>
            <charset val="134"/>
          </rPr>
          <t>过渡新手神器（）</t>
        </r>
      </text>
    </comment>
    <comment ref="D8" authorId="7">
      <text>
        <r>
          <rPr>
            <sz val="10"/>
            <rFont val="宋体"/>
            <charset val="134"/>
          </rPr>
          <t>可以卡融毁管理难度小很多 还是一个比较好管的异想体次次融毁都卡很浪费精力不说还容易忘，出逃前中期不算好打而且瞬移可能有伤害爆炸秒人的bug，多一事不如少一事还是摸完退货好点，毕竟一般来说都要每次融毁让魔弹清次员工，之前我收容憎恶和石山，直接头铁把培训部抑制刚过去的（没好的回忆）二级警报的时候会自动出来帮你打怪还算好吧，但是出逃了之后特别难镇压原本机制是在触发下一级逆流之前如果没死至少三人会掉计数器，必须要工作结果优才可解决（1点计数器时工作难度非常巨大，拿笔记本沟通都很容易出事）处决弹击杀的员工包括在内见鬼了，明明把人拉进3月27，都已2级了，他还没出来。别要，小心你打三鸟和白夜她来当25仔。疯狂给敌人回血处决弹也可以，如果怕麻烦的话还是退吧，多一事不如少一事，不想出岔子要卡融毁或处决弹，数值足够镇压难度不高就是麻烦，鱼脑还是拿满了退货比较好卡蹲起可以是可以 但是对我这种鱼脑还是太不友好了（A不要和尸山之类的文保协一起带的比较好，不卡融毁几乎强制要求留部分文职拿来处决，一旦出现留的文职被考验或者48天的红姐杀完的情况文保协基本就稳定出逃了，辛苦收拾完残局然后发现没有文职杀下一波融毁还得管憎恶是真的会力竭的</t>
        </r>
      </text>
    </comment>
    <comment ref="G8" authorId="8">
      <text>
        <r>
          <rPr>
            <sz val="10"/>
            <rFont val="宋体"/>
            <charset val="134"/>
          </rPr>
          <t>主要是全公司瞬移和攻击吸血 最好还是管好</t>
        </r>
      </text>
    </comment>
    <comment ref="D10" authorId="9">
      <text>
        <r>
          <rPr>
            <sz val="10"/>
            <rFont val="宋体"/>
            <charset val="134"/>
          </rPr>
          <t>只要一个部里4个员工以上几乎不会鱼脑，毕竟4选1加上不确定可以其他部门临时过来沟通可以给到中吧，没有计数器很安全的异想体，忘了上个员工是谁可以看左下角的日志熔毁可以不理，也挺好</t>
        </r>
      </text>
    </comment>
    <comment ref="G11" authorId="10">
      <text>
        <r>
          <rPr>
            <sz val="10"/>
            <rFont val="宋体"/>
            <charset val="134"/>
          </rPr>
          <t>红舞鞋可镇压（需要献祭员工，在没有自律低于3的员工时则是献祭文职）</t>
        </r>
      </text>
    </comment>
    <comment ref="D12" authorId="11">
      <text>
        <r>
          <rPr>
            <sz val="10"/>
            <rFont val="宋体"/>
            <charset val="134"/>
          </rPr>
          <t>文职狂喜（bushi）只会偷一个人 而且很好解 甚至不会偷自律3+的员工 确实一点威胁都没有虽然但是前期还是要及时发现（</t>
        </r>
      </text>
    </comment>
    <comment ref="E12" authorId="12">
      <text>
        <r>
          <rPr>
            <sz val="10"/>
            <rFont val="宋体"/>
            <charset val="134"/>
          </rPr>
          <t>自律1员工用它dps会达到惊人的11，但仍然不推荐</t>
        </r>
      </text>
    </comment>
    <comment ref="D14" authorId="13">
      <text>
        <r>
          <rPr>
            <sz val="10"/>
            <rFont val="宋体"/>
            <charset val="134"/>
          </rPr>
          <t>最大的用处大概是给怪婴搭一个快乐屋罢（怎么哭都没用的那种）鱼脑的话还是会出事的，建议是开了图鉴彻底放置不管怎么搭啊？用处在于给有特别需要的主管欣赏员工疯颜（）saa最大的坏处是容易处理完融毁以后鱼脑忘了 三十秒后喜提一个疯员工有强力白伤武器的话可以让疯员工去杀文职来摸憎恶女王，白伤武器员工负责勾引上下楼</t>
        </r>
      </text>
    </comment>
    <comment ref="D16" authorId="14">
      <text>
        <r>
          <rPr>
            <sz val="10"/>
            <rFont val="宋体"/>
            <charset val="134"/>
          </rPr>
          <t>后期可以让她自己孤独不管，反正没威胁，前期需要注意，个人推荐中偏上优，因为有其他练沟通情况下可以放到第2天多陪老人聊聊天JPG 个人收容体验感挺好的，推荐</t>
        </r>
      </text>
    </comment>
    <comment ref="E16" authorId="15">
      <text>
        <r>
          <rPr>
            <sz val="10"/>
            <rFont val="宋体"/>
            <charset val="134"/>
          </rPr>
          <t>讲个笑话，老奶奶的手枪打H和沉醉差不多</t>
        </r>
      </text>
    </comment>
    <comment ref="D18" authorId="16">
      <text>
        <r>
          <rPr>
            <sz val="10"/>
            <rFont val="宋体"/>
            <charset val="134"/>
          </rPr>
          <t>如果不幸需要长期收容，三个工具异想体，或者计数器归0无影响的异想体，关闭音量，即可让它享受快乐老家一定要退货，有了它基本你就不能收容白夜了。怪婴过于恶臭必须退货真的很要命屎就是史💩，相较于它，旁边的黄泉列车都显得是那么眉清目秀，满自律本能工作一次tm就发疯了，没有任何解决的办法，只能关掉声音看着它叫，还减该部门的计数器，nmmd薛定谔的工作成功率，动不动就开始鬼叫。同为he大粪，樵夫开完图鉴都不用扔，往那一摆就行。这个玩意不扔就等着以后关声音玩游戏吧。对主管造成持续白伤（不是机制死，是对主管造成精神伤害这个shabi东西，不扔的你是个神人</t>
        </r>
      </text>
    </comment>
    <comment ref="D19" authorId="17">
      <text>
        <r>
          <rPr>
            <sz val="10"/>
            <rFont val="宋体"/>
            <charset val="134"/>
          </rPr>
          <t>前中期建议别收，一下半管蓝条，尤其是打紫正午的时候，运气不好吼个三两声就完了</t>
        </r>
      </text>
    </comment>
    <comment ref="D20" authorId="18">
      <text>
        <r>
          <rPr>
            <sz val="10"/>
            <rFont val="宋体"/>
            <charset val="134"/>
          </rPr>
          <t>对Jump Scare（突然惊吓）抗性低的主管而言，推荐度是低但就算抗性高，时不时震一下屏幕加上怪声也还是很讨厌的....个人而言，收容推荐为差非常乖，但，其实不是非常推荐，一直会有喘息声，比较吵（ps. 很前期就收容了，但到现在还没适应跳脸演出，如上面那位主管所说，偶尔会被吓到拿着容易掉san对玩家造成白色伤害类型的伤害（）但其实只要一直本能基本不会有吼的情况，除非因为某种原因（考验）减计数器其实这个再打马库库核心抑制时很好用的，因为可以很方便地找出沟通和本能这玩意儿时不时jump scare对心脏不好的主管不友好（但是会对主管造成大量白伤，不爱开声音或者喜欢听歌玩的随便拿</t>
        </r>
      </text>
    </comment>
    <comment ref="F21" authorId="19">
      <text>
        <r>
          <rPr>
            <sz val="10"/>
            <rFont val="宋体"/>
            <charset val="134"/>
          </rPr>
          <t>对抗红伤怪时：优</t>
        </r>
      </text>
    </comment>
    <comment ref="D22" authorId="20">
      <text>
        <r>
          <rPr>
            <sz val="10"/>
            <rFont val="宋体"/>
            <charset val="134"/>
          </rPr>
          <t>计数器为1还是要适当注意类似红黎明、黑色收尾人、黑天鹅之梦一类会减少计数器的异想体/敌人还需要注意Hod抑制这类会降低员工属性的情况 碧蓝新星等其他对员工属性有硬性要求的同理饰品是生存类的挺不错可以刷</t>
        </r>
      </text>
    </comment>
    <comment ref="E22" authorId="21">
      <text>
        <r>
          <rPr>
            <sz val="10"/>
            <rFont val="宋体"/>
            <charset val="134"/>
          </rPr>
          <t>拥有特殊攻击拟态谁用谁说好拟态，吃攻速这一块，吸血这一块拟态需要配上拟态甲</t>
        </r>
      </text>
    </comment>
    <comment ref="G22" authorId="22">
      <text>
        <r>
          <rPr>
            <sz val="10"/>
            <rFont val="宋体"/>
            <charset val="134"/>
          </rPr>
          <t>参考镇压方法
方法一：全waw级不弱红抗甲，在一二阶段直接秒
方法二：拟态在三阶段吸引仇恨，其他人捅屁股，可以选择打治疗弹或者其他增益硬抗手刀，或者两边走位躲手刀
方法三：兔子队五五开
方法四：压迫放爱妈，让爱妈处理一无</t>
        </r>
      </text>
    </comment>
    <comment ref="D24" authorId="23">
      <text>
        <r>
          <rPr>
            <sz val="10"/>
            <rFont val="宋体"/>
            <charset val="134"/>
          </rPr>
          <t>前期归零毁灭性打击，后期归零公司应该也快死完了不过也是大前期练正义指定异想体，推荐度高前几天没有危机，可以用这个刷出来一大堆满级正义员工（就是有点累ww）</t>
        </r>
      </text>
    </comment>
    <comment ref="B25" authorId="24">
      <text>
        <r>
          <rPr>
            <sz val="10"/>
            <rFont val="宋体"/>
            <charset val="134"/>
          </rPr>
          <t>评的低了，至少是个良，DPS可以赶上W级的输出了，射程还是远，负面效果作为远程其实不太致命</t>
        </r>
      </text>
    </comment>
    <comment ref="D26" authorId="25">
      <text>
        <r>
          <rPr>
            <sz val="10"/>
            <rFont val="宋体"/>
            <charset val="134"/>
          </rPr>
          <t>可以放置，不派人进去就行歌唱机必须安排一个低血保姆，然后构筑部核心抑制这名保姆日常暴毙融毁后不会主动拉人，实际当个装饰品很好
打锁妈走处理融毁打法需要招一次性保姆（保姆工作第二天就升级了），血脆容易被共鸣赤潮打死，考虑带个高黑抗甲
总之算是还好管的，融毁掉能源见仁见智，个人推荐度中，优于稻草人我是歌唱机厨，需要注意的是这玩意饰品其实非常强，而且培训部抑制后新员工完美符合属性要求，所以歌唱机算我的新手培训班（）不过拿了就做好强杀锁妈的准备吧，个人长期携带推荐度高于樵夫其实感觉还行，开ego捏一个全3的，打锁妈再捏一个全3的，其他时候放置就行自律&lt;3  也死</t>
        </r>
      </text>
    </comment>
    <comment ref="E26" authorId="26">
      <text>
        <r>
          <rPr>
            <sz val="10"/>
            <rFont val="宋体"/>
            <charset val="134"/>
          </rPr>
          <t>评级低了，至少是个良，DPS足够优秀，T级武器W级输出，前中期H上W过度很好用，射程还远，同时负面效果对于远程部队来说不是很要紧，可以配合荧光手镯使用，相互抵消负面效果。荧光手镯目前还是有bug，回不了血前期掉血烦，后期也不缺这点DPS，差不多也就这个水平吧小众变态武器，中期远程打近战一般也接不到敌其实还好，后期倒是有更好的选择不缺一把白伤炮了</t>
        </r>
      </text>
    </comment>
    <comment ref="D27" authorId="27">
      <text>
        <r>
          <rPr>
            <sz val="10"/>
            <rFont val="宋体"/>
            <charset val="134"/>
          </rPr>
          <t>主要麻烦在于出逃镇压不了会重置pb点数所以俗称白干，但（尤其前期本来就不需要多少点数）不在意这点的话就完全无所谓了可以一天一开始先一直摸它然后出逃就把员工从部门移走（他不会主动攻击，放完音乐就自己回家了），等摸了一阵子后就停止然后攒点数结束一天。相当于把班提前加了而已，这么看的话其实是非常非常好管的a了。无论白干还是出逃的一倍速音乐都只不过是会让游戏时长变得久而已（出逃的时候也可以去干别的事呀！）乐团D49尤其难受 别的时候可以放着不管惩戒部可以用来完成任务，并且出逃在ego质量不错的情况下都是容易镇压的。
乐团本体只有2000血，而且抗性2.0，类比一阶段一无2000血，
“沉默乐团”在演奏每个乐章时都有不同的弱点，弱点伤害的抗性会被调至2.0，并且会免疫弱点之外的伤害（转载自wiki）,需要注意的是提前调动对应伤害的员工，如果没有到对应乐章可以先拉开，毕竟白伤还是挺高的。</t>
        </r>
      </text>
    </comment>
    <comment ref="F27" authorId="28">
      <text>
        <r>
          <rPr>
            <sz val="10"/>
            <rFont val="宋体"/>
            <charset val="134"/>
          </rPr>
          <t>拥有乐团饰品且对抗白伤单位时：极优/论外（白伤-1.0抗性，即吸收）也有一说是-2.0，但我印象中是上一条中所写的-1.0是-1.0乐团饰品主要是起司抑制可以无脑摸白伤 其他时候伤蓝条的主要是黑伤了个人觉得在A套里面不是很行O.o 1.5蓝抗真容易被秒吧</t>
        </r>
      </text>
    </comment>
    <comment ref="D28" authorId="29">
      <text>
        <r>
          <rPr>
            <sz val="10"/>
            <rFont val="宋体"/>
            <charset val="134"/>
          </rPr>
          <t>前期可以放着让它演奏不管，一会儿就自己回去了，刷出Dacapo后回库就行了（不是覆盖日选就行）他的饰品+护甲能让精神抗性变成-1。可以管所有白伤异想体。饰品加护甲实用性极高，良区间太小卡概率也不行，如果能力足够镇压不困难就可以考虑收留，反正绝对比爱娜温好压迫都能出优，白干五天了都乐团可以一直摸 -30%成功率反而更好摸装备摸完饰品一定要摸！能吸收白伤！出逃的话在中后期很好打的无脑群殴就行，如果有人跟我一样收了小红帽的一定要安排一个打得过的堵小红帽门，这货跑的很快的走枪伤害更是逆天容易造成伤亡其实还可以，一阶段红蓝伤围殴死很快，饰品搭配衣服摸数据删除简直无敌，吸收白伤太权威了</t>
        </r>
      </text>
    </comment>
    <comment ref="G28" authorId="30">
      <text>
        <r>
          <rPr>
            <sz val="10"/>
            <rFont val="宋体"/>
            <charset val="134"/>
          </rPr>
          <t>参考镇压方法
至少带两把正裁 一把薄冥 其余waw级黑伤5把作用 基本可以镇压 需要的话带白伤收尾两把正裁+一把薄暝就可以在一乐章稳定镇压了 不过需要提前把人拉到旁边电梯间 但鉴于后期需要这些武器的场合并不少 不建议在要处理混乱场面的时候摸过头了</t>
        </r>
      </text>
    </comment>
    <comment ref="G29" authorId="31">
      <text>
        <r>
          <rPr>
            <sz val="10"/>
            <rFont val="宋体"/>
            <charset val="134"/>
          </rPr>
          <t>可以先不管扣能源先肝出武器，然后尽量放在中央本部且暂时不做起司任务（也就是先开惩戒部）</t>
        </r>
      </text>
    </comment>
    <comment ref="D30" authorId="32">
      <text>
        <r>
          <rPr>
            <sz val="10"/>
            <rFont val="宋体"/>
            <charset val="134"/>
          </rPr>
          <t>核心抑制培训部后，雇佣新员工时可以手动调整自律至＜2，不必担心无法收容但自律低在后期的限制也还是比较大的，能放置的话尽量还是完全放置a'a'a'a'a'a'a'a'a'aaaaaaaaaaa打锁妈的时候有这么个东西是很麻烦的，建议招保姆刷完回库</t>
        </r>
      </text>
    </comment>
    <comment ref="D31" authorId="33">
      <text>
        <r>
          <rPr>
            <sz val="10"/>
            <rFont val="宋体"/>
            <charset val="134"/>
          </rPr>
          <t>员工穿着炎雀（荣耀之羽）护甲时：极低（即死）冰雪女皇部门的人别穿荣耀之羽护甲就几乎不会触发了没有计数器适合占位 前期产能效率很高 饰品加成也不错让低属性员工被冻住然后用高勇气去救，两个员工都能拿一个不错的饰品，没事可以刷刷。唯一的问题是bug多，需要注意bug了，成功了给关里头了，我好几个部门都去试，全锁里头了。bug依然很多且触发条件仍不明确（不只wiki上写的）对于怕麻烦的主管而言好用程度可能稍微低一些bug很多，在里面没有冻人时也可能触发决斗封门，摸完这人就会卡里面一整天，但是不计为冰封，不能决斗救人，也不会判死</t>
        </r>
      </text>
    </comment>
    <comment ref="G31" authorId="34">
      <text>
        <r>
          <rPr>
            <sz val="10"/>
            <rFont val="宋体"/>
            <charset val="134"/>
          </rPr>
          <t>婚戒所，公司员工全都拉去结婚</t>
        </r>
      </text>
    </comment>
    <comment ref="D32" authorId="35">
      <text>
        <r>
          <rPr>
            <sz val="10"/>
            <rFont val="宋体"/>
            <charset val="134"/>
          </rPr>
          <t>饰品十分优秀而且稳定容易获取，建议给每个人刷一个遇到个bug，同一天第二次刷饰品时被冻住的员工会提前出来导致第三次刷的员工直接被控且无法解救</t>
        </r>
      </text>
    </comment>
    <comment ref="D33" authorId="36">
      <text>
        <r>
          <rPr>
            <sz val="10"/>
            <rFont val="宋体"/>
            <charset val="134"/>
          </rPr>
          <t>实际上大鸟在文保协里属于好管的那一类，有五点计数器工作优还能回复计数器，反而是二级警报会突破收容这一点更烦</t>
        </r>
      </text>
    </comment>
    <comment ref="D34" authorId="37">
      <text>
        <r>
          <rPr>
            <sz val="10"/>
            <rFont val="宋体"/>
            <charset val="134"/>
          </rPr>
          <t>打天启必须收如果是最后一只建议开完装备打完天启直接回滚（好处没有文保协坏处薄明员工一旦没了就很尴尬虽然一般时候不会没）大鸟算文保协里边相当友好的了 优可以涨计数器 出来就近找几个人打打 出了魅惑就拉走然后接着打就行了 还有打天启真的不要饰品吗其实后期管起来还好 打的时候记得把头上有圈的拉走就行 而且大鸟标记员工是有规律的所以可以预测 前期没有处决弹的话先用魔弹清一波文职 然后派个高自律的进去刷几次优计数器就涨回来了 和饰品收益比起来这点麻烦也不算什么倒不是难打的问题，怕的是场面混乱的时候偷人。停电部门范围还是很大的偷人真的烦，我培训部收的，然后后期偷人根本注意不到如果在中本的话建议等大鸟走到其他小部门再打，不然可能没挨到就魅惑咬头了计数器有5点 可以涨计数器 勉强还算好对付文保协里面最乖巧可爱的😋计数器极值5，而且掉了也很容易加回来，还是比较适合长期携带的虽然是文保协，但是计数器极值高还容易涨，不是一下子死一堆人根本出不来（主要是破晓饰品真的很香）1.正常情况下，捏两个低血量员工放在部门边缘随意镇压
2.真正麻烦的是它趁着考验/抑制的时候跑出来，那个时候还要分心去拉走魅惑员工容易关注不到其他地区的考验/抑制容易造成减员，因此做重要任务的时候还是需要清文职。
3.不清文职的情况下，加上对大鸟的全优工作，做到八级逆流一般需要镇压1-2次大鸟。【个人情况仅供参考。】</t>
        </r>
      </text>
    </comment>
    <comment ref="G34" authorId="38">
      <text>
        <r>
          <rPr>
            <sz val="10"/>
            <rFont val="宋体"/>
            <charset val="134"/>
          </rPr>
          <t>怕死人还是让小红帽去处理这个前期不容易镇压，那个回头杀太烦了。前期可以摸玩先退货，后面装备好了再收来作天启鸟的任务，做完任务后再退货注意别在撤头上有圈的员工的时候让人一头撞到大鸟嘴里就行 本体皮也不厚（不过这里真的不是哪边打错了吗 管理推荐度那一栏里打的是出逃难打如果大鸟是因为二级警报出逃一定要解决二级警报，不然会因为大鸟循环出逃而减员一周目第13天选了这个，有点害怕，连HA级的武器都没有</t>
        </r>
      </text>
    </comment>
    <comment ref="D36" authorId="39">
      <text>
        <r>
          <rPr>
            <sz val="10"/>
            <rFont val="宋体"/>
            <charset val="134"/>
          </rPr>
          <t>你是tm第一个到了我这工作第二次直接开跑的，很好，我记住你了</t>
        </r>
      </text>
    </comment>
    <comment ref="E36" authorId="40">
      <text>
        <r>
          <rPr>
            <sz val="10"/>
            <rFont val="宋体"/>
            <charset val="134"/>
          </rPr>
          <t>电锯模板武器，和幸灾乐祸一样。前中期都好用</t>
        </r>
      </text>
    </comment>
    <comment ref="D38" authorId="41">
      <text>
        <r>
          <rPr>
            <sz val="10"/>
            <rFont val="宋体"/>
            <charset val="134"/>
          </rPr>
          <t>个人认为推荐度差，一旦出逃处理起来很麻烦，十次工作有一次出逃就会给设施带来一定的地形阻碍，不利于中后期多部门工作少摸，给拿了武器的员工配饰品就行了，后期100自律以上压迫不脸黑不会出良。有A套好打，瞬移两次就没了（但保存藤蔓烦）最强胸部饰品，但是收容困难装备和员工素质到一定水平了平时逃不了，逃一次也就半条走廊的事，不堵一些重要走廊影响不大</t>
        </r>
      </text>
    </comment>
    <comment ref="D40" authorId="42">
      <text>
        <r>
          <rPr>
            <sz val="10"/>
            <rFont val="宋体"/>
            <charset val="134"/>
          </rPr>
          <t>不洞察就行，勇气II以上的刷本能。d谨慎2以上不会机制杀适合新员工练等级（除了谨慎）</t>
        </r>
      </text>
    </comment>
    <comment ref="D42" authorId="43">
      <text>
        <r>
          <rPr>
            <sz val="10"/>
            <rFont val="宋体"/>
            <charset val="134"/>
          </rPr>
          <t>可以通过观察它的状态（正常站立和低伏喘息）来判断是否进行过压迫；如果是后者（低伏喘息），只需要进行除压迫以外的工作便可。个人推荐度良，可以用于练正义属性（虽然有亡蝶葬仪和魔弹射手之后一般就不理它了）观察状态有个更简单的办法，看他的头，他的头发（犄角？）是红玫瑰花，如果是红玫瑰花就说明状态ok可以压迫，如果花变成了黑色（犄角？）就是状态不佳换成洞察不会突破收容</t>
        </r>
      </text>
    </comment>
    <comment ref="D43" authorId="44">
      <text>
        <r>
          <rPr>
            <sz val="10"/>
            <rFont val="宋体"/>
            <charset val="134"/>
          </rPr>
          <t>a装z的祖宗，新人劝退神器，删档重启选项。有个疑问如果员工总数不足12人，所有员工接受祝福后，再逆卡巴拉变为0，他吸引文职进去吗？有大佬试试吗？害怕会毁档wiki上说会让空气生成11号使徒，没有第十二个叛徒问一下，一周目第十二天抽出疫医，是不是不管就行了不行，没打核心抑制无法避免熔毁，疫医会直接拉人原装使徒没了，会在员工或文职之间随机挑选补充，最好同一周目内解决，否则镇压时候挑到主力很难受我的天哪，我的员工给疫医本能两次，两次都是良，都没祝福成功，等会别给疫医气死了</t>
        </r>
      </text>
    </comment>
    <comment ref="D45" authorId="45">
      <text>
        <r>
          <rPr>
            <sz val="10"/>
            <rFont val="宋体"/>
            <charset val="134"/>
          </rPr>
          <t>某种程度上说，白夜和一无所有其实很像；只不过白夜需要定期看管，而且也需要格外注意减少计数器的敌人/异想体。黑收尾人来时一定要看着门口，死后爆炸也把他引开（别问怎么知道的）鱼脑主管一生之敌，一己之力加速游戏进程，白干概率巨幅上升，不建议任何人非刻意收留，11个祝福与两套究极护甲带来的收益对原版脑叶几乎溢出（薄瞑抗性也足够优秀），收留白夜的负面作用远超其增益这和一无区别大了去了，一无能打这个出来就重开吧</t>
        </r>
      </text>
    </comment>
    <comment ref="G45" authorId="46">
      <text>
        <r>
          <rPr>
            <sz val="10"/>
            <rFont val="宋体"/>
            <charset val="134"/>
          </rPr>
          <t>相对容易镇压的情况是疫医刚转变为白夜的时候 如果员工里没有指定的使徒的话会随机转化现有员工 非常难搞</t>
        </r>
      </text>
    </comment>
    <comment ref="D48" authorId="47">
      <text>
        <r>
          <rPr>
            <sz val="10"/>
            <rFont val="宋体"/>
            <charset val="134"/>
          </rPr>
          <t>闲的没事真不要拿，它还会变成其他异想体，一走神按一下就寄了我的A套全没了，淦打红姐点一下名字直接开趴，建议用过之后退货，平时非常容易误触</t>
        </r>
      </text>
    </comment>
    <comment ref="D50" authorId="48">
      <text>
        <r>
          <rPr>
            <sz val="10"/>
            <rFont val="宋体"/>
            <charset val="134"/>
          </rPr>
          <t>丑是真的，每次点进去详细介绍页就会鬼图贴脸长的丑难崩，不过是的，工作的时候小心别被吓到哦不会收的，宁可收白夜也不会收他,太丑了。。。。东北大花袄牛比</t>
        </r>
      </text>
    </comment>
    <comment ref="E50" authorId="49">
      <text>
        <r>
          <rPr>
            <sz val="10"/>
            <rFont val="宋体"/>
            <charset val="134"/>
          </rPr>
          <t>跟蜘蛛巢的差不多，属于是过度用的</t>
        </r>
      </text>
    </comment>
    <comment ref="D52" authorId="50">
      <text>
        <r>
          <rPr>
            <sz val="10"/>
            <rFont val="宋体"/>
            <charset val="134"/>
          </rPr>
          <t>孢子的伤害与工蜂对于高等级员工而言不是很大的威胁，工作成功率同理；个人推荐度为中是这样，红盾也可以有效保护被孢子感染的员工文职感染孢子掉的极快注意文保协 另外就是文职有可能出一大群小蜜蜂A套都有可能秒还是得注意一下细节：1点逆卡巴拉，工作优不减
很容易优，连做五次都是优
· 只会感染本部门的员工与文职
· 其他部门员工来做工作不会被感染
· 员工之间不会相互传染
· 本部门员工移动到很远的地方也会被感染
· 感染不是永久的，吃一段时间伤害没死孢子就消失了福利部抑制的时候要小心洞察随便摸，自律高的话都是极高成功率</t>
        </r>
      </text>
    </comment>
    <comment ref="D54" authorId="51">
      <text>
        <r>
          <rPr>
            <sz val="10"/>
            <rFont val="宋体"/>
            <charset val="134"/>
          </rPr>
          <t>在勇气和自律大于1的情况下选择沟通就行</t>
        </r>
      </text>
    </comment>
    <comment ref="E55" authorId="52">
      <text>
        <r>
          <rPr>
            <sz val="10"/>
            <rFont val="宋体"/>
            <charset val="134"/>
          </rPr>
          <t>为什么文职小手枪也优啊（就算他是高贵的远程）</t>
        </r>
      </text>
    </comment>
    <comment ref="F55" authorId="53">
      <text>
        <r>
          <rPr>
            <sz val="10"/>
            <rFont val="宋体"/>
            <charset val="134"/>
          </rPr>
          <t>这个护甲还不如熊抱抱</t>
        </r>
      </text>
    </comment>
    <comment ref="D57" authorId="54">
      <text>
        <r>
          <rPr>
            <sz val="10"/>
            <rFont val="宋体"/>
            <charset val="134"/>
          </rPr>
          <t>摸到就退货，这玩意就是折磨人来的。小白干乐团比乐团还烦，计数器只有一点，基本上是摸了就出逃，它和白干乐团到底哪个是A啊（恼我拟态员工加鹅卵石追杀爱娜温五级员工拿拟态套打，中途到部门恢复一下还是可以打的，但是还是建议退货白干乐团起码是定点木桩，俩正裁一薄瞑就能打爆
爱娜温遇到文职就跑员工打一半也跑，工作三分钟镇压一万年，计数器只有一，不过乐团有清空能源，二者难分伯仲，建议全部退货。</t>
        </r>
      </text>
    </comment>
    <comment ref="D58" authorId="55">
      <text>
        <r>
          <rPr>
            <sz val="10"/>
            <rFont val="宋体"/>
            <charset val="134"/>
          </rPr>
          <t>这是屎！别吃！！！！白抗加瞬移会很麻烦，员工和ego质量不高时建议别选。有文保协时更不能选。员工和ego质量够，没文保协时没什么威胁，蹲走廊及时拉走就行以及补一句，摸到-12%以上反而不容易出逃镇压没什么问题就是比较烦，摸完就退货c</t>
        </r>
      </text>
    </comment>
    <comment ref="G58" authorId="56">
      <text>
        <r>
          <rPr>
            <sz val="10"/>
            <rFont val="宋体"/>
            <charset val="134"/>
          </rPr>
          <t>后期配置够了镇压起来相对容易 瞬移到哪个部门就把哪个部门的人拖过去打就行 一般两到三次瞬移就能解决 但还是耗时长且烦人主要是容易出逃需要管很麻烦，实际上这东西很容易打，每条走廊在员工及时赶到的情况下，3个w以上武器，打2-3次就回去了，走得慢的话最多5次，完全不死人</t>
        </r>
      </text>
    </comment>
    <comment ref="D61" authorId="57">
      <text>
        <r>
          <rPr>
            <sz val="10"/>
            <rFont val="宋体"/>
            <charset val="134"/>
          </rPr>
          <t>几乎完美的加班机，全属性都能练，饰品还非常优秀十分优秀，简直是“主管之友”，看到直接选。加班时间长的话，可以直接把一级员工练到五级。鱼脑主管的噩梦。。。</t>
        </r>
      </text>
    </comment>
    <comment ref="D62" authorId="58">
      <text>
        <r>
          <rPr>
            <sz val="10"/>
            <rFont val="宋体"/>
            <charset val="134"/>
          </rPr>
          <t>但是拿了鹅卵石就几乎无法从事其他的工作了，务必注意也需要注意一个鹅卵石员工死亡带来的计数器减少，可能会导致所有持有鹅卵石的员工连锁死亡基本上很少会需要常备鹅卵石，我个人的建议是一个保姆就足够了战神员工先找银河刷两次+再找绝望聊个天=究极打手新鲜出炉醋王小王子，建议只让战神摸，不然一旦摸得人多了，死一个=死一片。但拿了鹅卵石要小心计数器 容易鱼脑摸着摸着把战神摸死（一天建议只让一位员工只摸他，人多了容易鱼脑。摸之后给的鹅卵石很好用（仅限当天），拿了鹅卵石基本上随便练四个属性（建议三级及以上员工摸）。切记注意计数器，不管容易玩死。几乎完美的加班对象，就是干完不能再找别人+-+</t>
        </r>
      </text>
    </comment>
    <comment ref="F62" authorId="59">
      <text>
        <r>
          <rPr>
            <sz val="10"/>
            <rFont val="宋体"/>
            <charset val="134"/>
          </rPr>
          <t>饰品具有回血能力，建议刷一个不只能回血还能回蓝，而且没有任何负面效果，很建议人手一个</t>
        </r>
      </text>
    </comment>
    <comment ref="D63" authorId="60">
      <text>
        <r>
          <rPr>
            <sz val="10"/>
            <rFont val="宋体"/>
            <charset val="134"/>
          </rPr>
          <t>注意前期伤害不够不要打不要打不要打！！！收容了以后就不要用黑天鹅相关EGO，以及镇压小心魔弹之类的AOE，蹭到你鸟爹你就寄了</t>
        </r>
      </text>
    </comment>
    <comment ref="E63" authorId="61">
      <text>
        <r>
          <rPr>
            <sz val="10"/>
            <rFont val="宋体"/>
            <charset val="134"/>
          </rPr>
          <t>非常好手枪，这使我的二级员工作战</t>
        </r>
      </text>
    </comment>
    <comment ref="F63" authorId="62">
      <text>
        <r>
          <rPr>
            <sz val="10"/>
            <rFont val="宋体"/>
            <charset val="134"/>
          </rPr>
          <t>小鸟的甲和鮟鱇不是基本一样吗，为啥一个给良一个给优</t>
        </r>
      </text>
    </comment>
    <comment ref="G63" authorId="63">
      <text>
        <r>
          <rPr>
            <sz val="10"/>
            <rFont val="宋体"/>
            <charset val="134"/>
          </rPr>
          <t>可以用小红帽镇压，来报当年之仇（滑稽）。</t>
        </r>
      </text>
    </comment>
    <comment ref="D64" authorId="64">
      <text>
        <r>
          <rPr>
            <sz val="10"/>
            <rFont val="宋体"/>
            <charset val="134"/>
          </rPr>
          <t>建议在收容室门口放个员工，尽早让鸟回去，不然员工在镇压其它异想体时容易误伤小鸟，然后导致重开注意附近别用会反伤的黑天鹅ego的员工，以及小心魔弹战神在附近战斗打到它我的失乐园员工被这位爷吃过两三次：）我魔弹大跌被吃3次，失乐园被吃2c</t>
        </r>
      </text>
    </comment>
    <comment ref="G64" authorId="65">
      <text>
        <r>
          <rPr>
            <sz val="10"/>
            <rFont val="宋体"/>
            <charset val="134"/>
          </rPr>
          <t>黑天鹅武器会反伤触发惩戒，除此之外后期让鸟大爷遛弯就行，毫无威胁除非不小心把小鸟看成考验</t>
        </r>
      </text>
    </comment>
    <comment ref="E65" authorId="66">
      <text>
        <r>
          <rPr>
            <sz val="10"/>
            <rFont val="宋体"/>
            <charset val="134"/>
          </rPr>
          <t>谢谢你，第一次知道原来猩红创痕不会被绿午夜gank啊（用这个玩意镇压紫正午把我控制部员工全搞死了😇</t>
        </r>
      </text>
    </comment>
    <comment ref="D66" authorId="67">
      <text>
        <r>
          <rPr>
            <sz val="10"/>
            <rFont val="宋体"/>
            <charset val="134"/>
          </rPr>
          <t>镇压时注意不要拉远距离；远距离时会一边移动一边使用手枪进行二连射击，伤害极高这个可以用能源雇佣，W级以下的全能打过W级的也能打过大部分，还算好但是就不能有大灰狼一个跑了两个都跑这个还是不错的，打黑色和白色收尾人，特别是白色收尾人方便。建议收了别收大灰狼，除此以外拟态能揍穿预计快要出逃时点请求，镇压他自己，不过要花160有个其他异想体出逃减计数器的被动，因此快乐刷镇压任务需要分心注意。另外开枪伤害超级高，所有员工正面上可能就团灭了（就是是5级），推荐用高红抗吸引仇恨（初见小红帽会给标记），剩下的从背面打。为什么不推荐收小红帽啊，萌新收了10几天就见她出逃过一次，装备也不错后期很容易有各种异想体出逃，很快小红帽就跟着出来了，红抗稍微低一点就被毙掉城管属性比较坑，出逃基本是要同时处理两个以上的情况，一个拟态可以单杀没有高红抗甲守门，前期甲不好锁谁谁死，超快移速根本跑不掉小红帽还算乖，但遇到刷乐团或者有亡蝶葬仪这种容易出逃的会很麻烦，要时刻关注计数器。有拟态后可以堵门，在计数器剩1时主动放稻草人或亡蝶葬仪杀人魔这种好打的刷新计数器</t>
        </r>
      </text>
    </comment>
    <comment ref="E66" authorId="68">
      <text>
        <r>
          <rPr>
            <sz val="10"/>
            <rFont val="宋体"/>
            <charset val="134"/>
          </rPr>
          <t>半血触发+50%伤害与友方伤害效果攻击写成了工具，有错别字</t>
        </r>
      </text>
    </comment>
    <comment ref="G66" authorId="69">
      <text>
        <r>
          <rPr>
            <sz val="10"/>
            <rFont val="宋体"/>
            <charset val="134"/>
          </rPr>
          <t>派拟态看门能最大程度避免减员</t>
        </r>
      </text>
    </comment>
    <comment ref="D67" authorId="70">
      <text>
        <r>
          <rPr>
            <sz val="10"/>
            <rFont val="宋体"/>
            <charset val="134"/>
          </rPr>
          <t>有小红帽时：低</t>
        </r>
      </text>
    </comment>
    <comment ref="D68" authorId="71">
      <text>
        <r>
          <rPr>
            <sz val="10"/>
            <rFont val="宋体"/>
            <charset val="134"/>
          </rPr>
          <t>狼产能源较多 狼和小红帽的三个饰品给的属性都很慷慨，不过如果这俩一起出来就是另一码事了，推荐度中偏低狼在生命值低于百分之50以下的嚎叫攻击会使伤害半径内的收容单元计数器减一，镇压血量在50%以下时要注意嚎叫范围内是否有高危异想体（如一无所有），不然很容易被打的猝不及防</t>
        </r>
      </text>
    </comment>
    <comment ref="D70" authorId="72">
      <text>
        <r>
          <rPr>
            <sz val="10"/>
            <rFont val="宋体"/>
            <charset val="134"/>
          </rPr>
          <t>前期新人杀手，建议开情报部后再选前期普遍武器不好出逃就镇压不了，这玩意容易把员工弄疯。</t>
        </r>
      </text>
    </comment>
    <comment ref="D71" authorId="73">
      <text>
        <r>
          <rPr>
            <sz val="10"/>
            <rFont val="宋体"/>
            <charset val="134"/>
          </rPr>
          <t>感觉这个应该是高，毕竟蓝伤武器太稀有了，刷本能就行，放着不管就好。如果有沉默乐团，4个正义V级员工，两个正义裁决者+两个匹夫之勇就能在第一阶段打回去。</t>
        </r>
      </text>
    </comment>
    <comment ref="D72" authorId="74">
      <text>
        <r>
          <rPr>
            <sz val="10"/>
            <rFont val="宋体"/>
            <charset val="134"/>
          </rPr>
          <t>只要不沟通就可以白嫖正义点数（压迫2次最佳，3次及以上会减少生命上限）且不会出逃，个人推荐度：高压迫一次就好，第一次无负面buff，第二次及以上有饰品容易鱼脑而且收益实际上有限，所以建议不要这个饰品如果先把自律点满再去压迫的话，个人觉得也挺划算。。。相当是20勇气换20正义，不过再也不能用做沟通，看收容异形体情况，而且要是了练战神的话真的挺不错的。压迫1次：
移速+10 攻速+10
压迫2次：
最大生命-5 移速+10 攻速+10
压迫3次：
最大生命-10 移速+15 攻速+15
压迫4次：
最大生命-20 移速+20 攻速+20
（可以用一罪的头饰盖掉）
（但是盖掉之后沟通还是会死）
（第二天饰品又会变回匹夫之勇）可以用一种奇特的bug把即死饰品刷掉，具体是在把头饰刷掉后，进入下一天，然后重新开始这一天，有概率刷掉，在员工信息界面查看即可</t>
        </r>
      </text>
    </comment>
    <comment ref="E72" authorId="75">
      <text>
        <r>
          <rPr>
            <sz val="10"/>
            <rFont val="宋体"/>
            <charset val="134"/>
          </rPr>
          <t>极为珍贵的跨级ego，前期配上蕾蒂西亚甲乱杀唯三的蓝伤武器，遇到就选</t>
        </r>
      </text>
    </comment>
    <comment ref="D73" authorId="76">
      <text>
        <r>
          <rPr>
            <sz val="10"/>
            <rFont val="宋体"/>
            <charset val="134"/>
          </rPr>
          <t>尽量早点收，方便凑3鸟，早打早舒服，W级给A甲也很香，覆盖日收可以通过连续回库摸</t>
        </r>
      </text>
    </comment>
    <comment ref="D74" authorId="77">
      <text>
        <r>
          <rPr>
            <sz val="10"/>
            <rFont val="宋体"/>
            <charset val="134"/>
          </rPr>
          <t>没有绝望骑士的蓝甲的话，工作情况很不稳定，基本摸不到。有其他1.0蓝抗A套去摸也不是不行，但对自律要求非常高，也可以配合银河之子鹅卵石（小心计数器）和/或数删钳这类能在工作中回血的使用伤害不是很高，但是血很厚，出来了不难打，但是得打一会
有2点计数器，工作优的要求也不高，不是很容易跑出来
两个A级真的很好用真的很不容易出来 蓝抗够的话可以用来刷属性的程度可以给除正义以外需要练属性的员工穿高蓝抗甲工作，毕竟W级还三个较高成功率工作w甲随便摸，有银河之子的饰品更稳</t>
        </r>
      </text>
    </comment>
    <comment ref="E74" authorId="78">
      <text>
        <r>
          <rPr>
            <sz val="10"/>
            <rFont val="宋体"/>
            <charset val="134"/>
          </rPr>
          <t>面板2-4，但会连续触发5次，单次攻击期望值约为10-20攻击时40%概率使用特殊攻击，造成3次7-10点蓝伤与7次2-4点蓝伤然而它的dps确实是a级倒一，w中上水平高贵的蓝伤，WAW产出要啥自行车蓝伤除了正裁就是天启和失乐园了 这把获取门槛是A级蓝伤最低的 鉴于总有要用到蓝伤的场合 只能说有比没有好破碎护甲才是门槛最低的蓝伤</t>
        </r>
      </text>
    </comment>
    <comment ref="G74" authorId="79">
      <text>
        <r>
          <rPr>
            <sz val="10"/>
            <rFont val="宋体"/>
            <charset val="134"/>
          </rPr>
          <t>怕死人可以用小红帽镇压</t>
        </r>
      </text>
    </comment>
    <comment ref="D75" authorId="80">
      <text>
        <r>
          <rPr>
            <sz val="10"/>
            <rFont val="宋体"/>
            <charset val="134"/>
          </rPr>
          <t>无法收容（）开启镇压条件大鸟，高鸟，小鸟有两个出逃（如果有员工拿着薄明则不会触发）抗性0.0 0.0 0.0 0.0打鸟蛋就行（鸟蛋有对应的伤害吸收请注意）（在触发事件在三鸟全部进人入口前可以把黑森林入口打掉强制终止事件，建议用兔子）注：黑森林事件时三鸟不会攻击也不会受到攻击只会向着黑森林的入口走去终末鸟具体打法银杏已经制作，查阅即可
个人认为长臂优先级绝对的最高，必须速拆，全屏蓝伤与无法暂停压力都是巨大
巨目拉人配合其他异想体威力无限，还可能把高危异想体保姆拉走，其次处理
小喙纯纯拖时间的垃圾。可以的话还是建议刷个无损失过终末鸟，毕竟如果回库的话大翅膀饰品就没了（</t>
        </r>
      </text>
    </comment>
    <comment ref="F75" authorId="81">
      <text>
        <r>
          <rPr>
            <sz val="10"/>
            <rFont val="宋体"/>
            <charset val="134"/>
          </rPr>
          <t>A太大了 缩小！</t>
        </r>
      </text>
    </comment>
    <comment ref="E76" authorId="82">
      <text>
        <r>
          <rPr>
            <sz val="10"/>
            <rFont val="宋体"/>
            <charset val="134"/>
          </rPr>
          <t>而且也只能给全EX员工用注：EX是属性超过110补充：武器需求的属性是最终属性，也就是员工基础属性+饰品加成</t>
        </r>
      </text>
    </comment>
    <comment ref="F76" authorId="83">
      <text>
        <r>
          <rPr>
            <sz val="10"/>
            <rFont val="宋体"/>
            <charset val="134"/>
          </rPr>
          <t>注：福利部精英效果提高20%抗性，薄瞑抗性变为0.24 0.24 0.24 0.4（游戏内显示0.2 0.2 0.2 0.4），是不养白夜的战神必选</t>
        </r>
      </text>
    </comment>
    <comment ref="D78" authorId="84">
      <text>
        <r>
          <rPr>
            <sz val="10"/>
            <rFont val="宋体"/>
            <charset val="134"/>
          </rPr>
          <t>如果一定要打，就不要收容文保协，有了魔弹和他的装备之后可以单人过去镇压，实在不行让本人开几枪，这样镇压难度会大大减小不过另一种方法后期直接逮个机会直接绕后围殴，这样更快，可怜贪婪，之前为了惩戒部任务被我弄死了五次为了6a风景区，以及养成每天清理文职的习惯了。这个还是得要，大黄黄昏和黄午夜放出来，清理差不多后在镇压她和剩余的虫子。绿黄昏也可以但是太看几率了。如果收了文保协就有点威胁。身前高伤+红伤免疫，除此之外只要背后偷屁股就能稳定镇压，纯沙包。出逃让所在部门员工镇压即可，不要被放风筝，尤其要注意工作完的员工不要刚好经过它的前面。安保部长度的走廊用一把笑靥最多加一把魔法棒就可以完全镇压</t>
        </r>
      </text>
    </comment>
    <comment ref="F78" authorId="85">
      <text>
        <r>
          <rPr>
            <sz val="10"/>
            <rFont val="宋体"/>
            <charset val="134"/>
          </rPr>
          <t>个人觉得其实是3A任务里最好做的，只是人够和不够打天启完全是两个难度（</t>
        </r>
      </text>
    </comment>
    <comment ref="G78" authorId="86">
      <text>
        <r>
          <rPr>
            <sz val="10"/>
            <rFont val="宋体"/>
            <charset val="134"/>
          </rPr>
          <t>这个具体镇压难度得看ego，由于完全免疫红伤，并且高白抗弱黑蓝，而且蓝伤ego又非常少，加上需要反复暂停观察朝向</t>
        </r>
      </text>
    </comment>
    <comment ref="D80" authorId="87">
      <text>
        <r>
          <rPr>
            <sz val="10"/>
            <rFont val="宋体"/>
            <charset val="134"/>
          </rPr>
          <t>感染型异想体普遍威胁并不非常大，小王子机制较特殊，但也可以不管主要麻烦的是它拉人。成功一个其余被魅惑的会立刻恐慌，d49的时候一个文职进去你的员工大部队里面会疯一片，打核心抑制和构筑部挑战不建议带可以拿拟态带着5计数器鹅卵石buff去摸，摸两次就停d49如果玩战神单刷打法可以带，只不过会打一半被拽走会比较烦，但不致命</t>
        </r>
      </text>
    </comment>
    <comment ref="D82" authorId="88">
      <text>
        <r>
          <rPr>
            <sz val="10"/>
            <rFont val="宋体"/>
            <charset val="134"/>
          </rPr>
          <t>蕾蒂西娅好像并没有与工作质量相关的能力；礼物是工作的员工固定会获得的，约等于和银河之子一样的“留守儿童”（需要且必须为保姆工作）是和工作质量相关的，要出良）那应该就是我的错误了，不过就我个人而言，一般来说是习惯让同一个员工去当保姆；毕竟偶尔还是会出个良的这个礼物真的烦只要是优就不会出礼物，一般选沟通就都是优刷属性小帮手，本能洞察沟通都可以，还不会出逃和暴死（银河之子），礼物注意一下即可，属性高了基本不会出良。吃到礼物再找她摸个优就可以，保姆或者专人加班可以解决，但总归会产生一点麻烦饰品挺萌的</t>
        </r>
      </text>
    </comment>
    <comment ref="E82" authorId="89">
      <text>
        <r>
          <rPr>
            <sz val="10"/>
            <rFont val="宋体"/>
            <charset val="134"/>
          </rPr>
          <t>Ego前期挺强的，一把能让绿正午碰到之前刮掉一半</t>
        </r>
      </text>
    </comment>
    <comment ref="F82" authorId="90">
      <text>
        <r>
          <rPr>
            <sz val="10"/>
            <rFont val="宋体"/>
            <charset val="134"/>
          </rPr>
          <t>眼熟吗？（四维属性和黄蜂枪一样）超好看，暖暖主管不要错过</t>
        </r>
      </text>
    </comment>
    <comment ref="E83" authorId="91">
      <text>
        <r>
          <rPr>
            <sz val="10"/>
            <rFont val="宋体"/>
            <charset val="134"/>
          </rPr>
          <t>我蝶哥he给waw没什么好说的</t>
        </r>
      </text>
    </comment>
    <comment ref="D84" authorId="92">
      <text>
        <r>
          <rPr>
            <sz val="10"/>
            <rFont val="宋体"/>
            <charset val="134"/>
          </rPr>
          <t>老慈善家了刷圣萱可以无视管理规则，直接用V级员工压迫，反正走不出一条走廊说实话萌新还是悠着点打，白抗太低也容易死一堆装备好就精英或围殴硬刚，装备不好就围殴走位躲开棺AOE，难度很低，闲着没事放出来溜溜都可以一周目前中期不建议拿，勇气高于三和正义低于三，工作都会导致计数器降低，跑出来的攻击还是白帧伤，低等级群殴会死一片人</t>
        </r>
      </text>
    </comment>
    <comment ref="E84" authorId="93">
      <text>
        <r>
          <rPr>
            <sz val="10"/>
            <rFont val="宋体"/>
            <charset val="134"/>
          </rPr>
          <t>he产的waw，要什么自行车但是他帅啊</t>
        </r>
      </text>
    </comment>
    <comment ref="D86" authorId="94">
      <text>
        <r>
          <rPr>
            <sz val="10"/>
            <rFont val="宋体"/>
            <charset val="134"/>
          </rPr>
          <t>后期开局战神赌文保协射手开始射击。饰品减血和精神，刷正义时候容易人手一个，自行衡量</t>
        </r>
      </text>
    </comment>
    <comment ref="E86" authorId="95">
      <text>
        <r>
          <rPr>
            <sz val="10"/>
            <rFont val="宋体"/>
            <charset val="134"/>
          </rPr>
          <t>全套ego时一枪就能秒杀低级员工，请务必注意不要将他混入镇压大军鱼脑的话还是尽量别带枪了，打团比较混乱的情况容易忘记隔离导致一打打一群（惨痛经历）一次是派持枪的员工去处理黎明，结果一枪顺便把刚和银河之子聊完出来的员工崩了，顺便还带死三个拿了鹅卵石的员工。第二次是镇压数据删除F2A的时候他混进去了，一枪过后我直接altf4。。。局面混乱的情况下时间拖长了莫名其妙打死几个W套员工都不成问题，如果是新人主管建议还是尽可能让魔弹员工单走一部门镇压黎明时很好用，三枪就能解决，除此之外可以让高属性员工拿着单挑绿正午（虽然没有群殴快但很安全）鱼脑主管建议不带，很容易重开</t>
        </r>
      </text>
    </comment>
    <comment ref="B87" authorId="96">
      <text>
        <r>
          <rPr>
            <sz val="10"/>
            <rFont val="宋体"/>
            <charset val="134"/>
          </rPr>
          <t>务必注意，收容了审判鸟的部门员工不要装备黑天鹅武器，不然一旦审判鸟出逃就要第一时间把员工拉走，不拉走则后果自负戳啦，是惩戒鸟嘛不好说，我有一次小鸟跑到了中央本部，把我吓了个半死（我的小鸟在控制部）</t>
        </r>
      </text>
    </comment>
    <comment ref="D88" authorId="97">
      <text>
        <r>
          <rPr>
            <sz val="10"/>
            <rFont val="宋体"/>
            <charset val="134"/>
          </rPr>
          <t>事实上是一个非优减少计数器，且出逃条件相当多的异想体。集文保协、非优出逃、城管（小红帽）为一体，同时出逃的伊莉雅兼具保命能力、高移速、反弹伤和*减少计数器*（重点）能力，个人推荐度：差但饰品不错，+10点工作速度和成功率但黑天鹅的计数器是独立触发，出逃前不会重复触发。因而一般都有一个出差做保险，实际上计数器会稳定在1，不容易出逃的黑天鹅出逃很难，一般都是融毁没管或者考验撬门或者公司炸了出不来就是好异想体，出来就是毁灭级，自行衡量，个人推荐度中偏高怕熔毁来个白伤甲保姆本能就行，除了熔毁基本出不来出逃条件相当多还要全部达成，城管和文保三条基本稳定触发，良也大概率触发，差这一条一般只有融毁和撬门会触发，需要看好集中实际上只要不出差就不会出逃可以用来刷正义</t>
        </r>
      </text>
    </comment>
    <comment ref="E88" authorId="98">
      <text>
        <r>
          <rPr>
            <sz val="10"/>
            <rFont val="宋体"/>
            <charset val="134"/>
          </rPr>
          <t>有惩戒鸟别带小鸟快乐器这武器最大的作用就是鸟大爷快乐器（滑稽）有小鸟带这个装备有惊喜</t>
        </r>
      </text>
    </comment>
    <comment ref="F89" authorId="99">
      <text>
        <r>
          <rPr>
            <sz val="10"/>
            <rFont val="宋体"/>
            <charset val="134"/>
          </rPr>
          <t>这个其实可以给个良……</t>
        </r>
      </text>
    </comment>
    <comment ref="D90" authorId="100">
      <text>
        <r>
          <rPr>
            <sz val="10"/>
            <rFont val="宋体"/>
            <charset val="134"/>
          </rPr>
          <t>出逃后跑的很快，出逃后的过道还有减速，建议会融毁时派保姆看门冲刺没有前摇，建议不要贪</t>
        </r>
      </text>
    </comment>
    <comment ref="E90" authorId="101">
      <text>
        <r>
          <rPr>
            <sz val="10"/>
            <rFont val="宋体"/>
            <charset val="134"/>
          </rPr>
          <t>真史 伤害极低幽默攻速 W级中的H级甚至T级不如老奶奶的左轮（孤独）</t>
        </r>
      </text>
    </comment>
    <comment ref="F90" authorId="102">
      <text>
        <r>
          <rPr>
            <sz val="10"/>
            <rFont val="宋体"/>
            <charset val="134"/>
          </rPr>
          <t>作为W级确实不太行 但是三抗给工具人还是蛮好的</t>
        </r>
      </text>
    </comment>
    <comment ref="G90" authorId="103">
      <text>
        <r>
          <rPr>
            <sz val="10"/>
            <rFont val="宋体"/>
            <charset val="134"/>
          </rPr>
          <t>可以趁它不动的时候用魔弹雇佣打 手稳的话三枪就能解决 这玩意儿不动的时候就是个木桩</t>
        </r>
      </text>
    </comment>
    <comment ref="D92" authorId="104">
      <text>
        <r>
          <rPr>
            <sz val="10"/>
            <rFont val="宋体"/>
            <charset val="134"/>
          </rPr>
          <t>只要位于屏幕内就可以，个人建议滚轮将视野拉到最大总有需要微操的时候，能省掉这个麻烦还是尽量省掉打锁妈这个东西背刺我两次自挂东南枝</t>
        </r>
      </text>
    </comment>
    <comment ref="F92" authorId="105">
      <text>
        <r>
          <rPr>
            <sz val="10"/>
            <rFont val="宋体"/>
            <charset val="134"/>
          </rPr>
          <t>这个竟然不和幸灾乐祸一样出一个视线内和视线外的差异？？这件视线内和视线外没有区别</t>
        </r>
      </text>
    </comment>
    <comment ref="G92" authorId="106">
      <text>
        <r>
          <rPr>
            <sz val="10"/>
            <rFont val="宋体"/>
            <charset val="134"/>
          </rPr>
          <t>但小心鱼脑，在视野范围内就没事，视野范围外可以说必死几个人</t>
        </r>
      </text>
    </comment>
    <comment ref="D94" authorId="107">
      <text>
        <r>
          <rPr>
            <sz val="10"/>
            <rFont val="宋体"/>
            <charset val="134"/>
          </rPr>
          <t>对抗蓝伤敌人时：差（BUFF会让蓝伤抗性变为2.0）祝福对象死亡后出逃，一刀50蓝伤不是变为2.0，是乘算1.5。祝福对象恐慌也会出逃脑婆！！</t>
        </r>
      </text>
    </comment>
    <comment ref="F94" authorId="108">
      <text>
        <r>
          <rPr>
            <sz val="10"/>
            <rFont val="宋体"/>
            <charset val="134"/>
          </rPr>
          <t>前期不如那两件HE均衡甲，中后期有了A就不用了。中期过度用可以搭数删钳 只要不是致命伤相当于全抗0.5很平均也很好用</t>
        </r>
      </text>
    </comment>
    <comment ref="G94" authorId="109">
      <text>
        <r>
          <rPr>
            <sz val="10"/>
            <rFont val="宋体"/>
            <charset val="134"/>
          </rPr>
          <t>一般也不会镇压她，员工死了都重启了。绝望出逃一般都是战神员工死了，直接重开会更合适出逃之后打蓝伤，所以哪怕用工具人放出来也不好打</t>
        </r>
      </text>
    </comment>
    <comment ref="D95" authorId="110">
      <text>
        <r>
          <rPr>
            <sz val="10"/>
            <rFont val="宋体"/>
            <charset val="134"/>
          </rPr>
          <t>前期看脸，如果为优就不会感染。有没有人可以说一下如果是良有多大几率感染。。。</t>
        </r>
      </text>
    </comment>
    <comment ref="D96" authorId="111">
      <text>
        <r>
          <rPr>
            <sz val="10"/>
            <rFont val="宋体"/>
            <charset val="134"/>
          </rPr>
          <t>没说多少红抗才行，反正V级勇气0.6红抗不能稳定工作，暂时还没有比0.6更好的红抗。刚好V级勇气，0.6甲摸不稳定，如果勇气大概90以上，0.6甲可以。不然就等0.5甲再摸128血量的绝望骑士甲 本能工作被感染了，请问脸有多黑建议是融毁别管，摸完退货也行，这玩意概率真不好说，我员工勇气121加大鸟甲本能工作感染了，工作结果良并且产了14PE-BOX，人很蒙当时根本没想到建议本能V沟通V管理，120沟通以上可摸两次，140以上可摸三次，风险较小。勇气自律&gt;100且非红弱抗的情况下 每级逆流摸个一两次的话一般不会死 应该也没人会真的靠这个发电吧（难蚌，勇气自律120+在成功率没减的情况下出良了，不过还好没事，拿的拟态员工，每轮熔毁摸两次差不多，但是个人建议拿完ego退货，真不想赌命😂这玩意实际上本能成功率高的一批，而且感染概率叠一堆乘区就低到可以忽略不计了，别上杆子老摸就行</t>
        </r>
      </text>
    </comment>
    <comment ref="E96" authorId="112">
      <text>
        <r>
          <rPr>
            <sz val="10"/>
            <rFont val="宋体"/>
            <charset val="134"/>
          </rPr>
          <t>白夜之父</t>
        </r>
      </text>
    </comment>
    <comment ref="D98" authorId="113">
      <text>
        <r>
          <rPr>
            <sz val="10"/>
            <rFont val="宋体"/>
            <charset val="134"/>
          </rPr>
          <t>处决弹击杀的文职不会被特殊能力检测到，第一状态下约等于HE，镇压难度不高考虑到A级异想体的高产出与工作类型是压迫和本能，个人建议推荐度：中有拟态保姆的情况下，高要丢在下层或者处理掉文职才行，不然单拟态追不上尸山其实最好的情况是尸山套员工当清洁工扫一片，不过有处决弹的话尽量还是处决掉一些文职更好几个5级A套20秒送回去，但由于文保协尽量摸完退货（-30%还能安全摸的只有尸山了）开局锁妈配深黯尸山丝滑小连招然而一个拟态根本追不上尸山，没有处理文职的方法之前真心不推荐</t>
        </r>
      </text>
    </comment>
    <comment ref="F98" authorId="114">
      <text>
        <r>
          <rPr>
            <sz val="10"/>
            <rFont val="宋体"/>
            <charset val="134"/>
          </rPr>
          <t>只有魔法才能对抗魔法（只要我先把尸体吃了，尸山就没得吃了）没有处决弹时比较花时间的备用清理文职尸体方式</t>
        </r>
      </text>
    </comment>
    <comment ref="G98" authorId="115">
      <text>
        <r>
          <rPr>
            <sz val="10"/>
            <rFont val="宋体"/>
            <charset val="134"/>
          </rPr>
          <t>参考镇压方案
方法一：waw非弱红抗甲以上五级直接堵门口，一波扛回家
方法二：三阶段用蕾蒂枪和黄蜂枪远程拉扯消耗，笑靥抢尸体，到二阶段之后笑靥顶拦住尸山，枪队收尾
方法三：兔子队一二阶稳赢，三节五五开</t>
        </r>
      </text>
    </comment>
    <comment ref="D100" authorId="116">
      <text>
        <r>
          <rPr>
            <sz val="10"/>
            <rFont val="宋体"/>
            <charset val="134"/>
          </rPr>
          <t>即使是长期收容也并不至于给低分评价，整体威胁不高麻烦在于场面混乱的时候会偷人，又不值得专门花精力看门还行，有拟态管着很轻松有一说一这个东西倒也不至于和穿刺极乐一个待遇（……）虽然场面混乱还得工它的话容易出逃 但相较穿刺的全图瞬移威胁还是没那么大实际体验还不错，装备好是一点，即使出逃只要不看他他就不会动（攻击和移动），所以镇压难度用几个镇暴棍西装也能搞定，并且暂停时看也没关系。另外，工作时只是不能看幸灾乐祸本体，不放心的可以卡边缘看着工作的员工，通过血条和收容室伤害判断工作状况。唯一的缺点是在某些不能暂停的场合出熔毁，因此能放边缘还是尽量边缘。只是工作的时候不能看 平时还是可以看的覆盖日一个怪婴一个泰迪一个幸灾乐祸，矮子里面挑将军只能选这个😂只要不是覆盖日，摸出装备就回库说实话评价偏低了，幸灾乐祸只要主管不鱼脑都算是很优质的常带（主要是练正义），麻烦在于倍伤和禁止暂停的时候，这玩意基础伤害极高幸灾乐祸建议放在安保部或培训部的上层，对视野影响最小；中下层就不要抓了会影响很大一片视野别收在惩戒部研发部构筑部这三个打锁妈前线战场基本没问题威胁不大，暂停不计入时间，镇压别看它就行拿完ego就回库</t>
        </r>
      </text>
    </comment>
    <comment ref="E100" authorId="117">
      <text>
        <r>
          <rPr>
            <sz val="10"/>
            <rFont val="宋体"/>
            <charset val="134"/>
          </rPr>
          <t>红易伤那是ro的翻译错误，实际上是红dot我的锅，不过这个错误居然过了这么久都没被修改…只能说早发现早纠正吧</t>
        </r>
      </text>
    </comment>
    <comment ref="F100" authorId="118">
      <text>
        <r>
          <rPr>
            <sz val="10"/>
            <rFont val="宋体"/>
            <charset val="134"/>
          </rPr>
          <t>加正义的时候要小心点可能出事，比如拿魔弹练正义的时候在视野内是正义3出视野就是正义2，这会魔弹压迫极低可能会导致员工死里面或者魔弹开枪视野内w属性是指性能媲美w级还是真的按w甲算（等级增减伤按w级处理）？</t>
        </r>
      </text>
    </comment>
    <comment ref="G100" authorId="119">
      <text>
        <r>
          <rPr>
            <sz val="10"/>
            <rFont val="宋体"/>
            <charset val="134"/>
          </rPr>
          <t>即使是后期打过惩戒部核心抑制后镇压幸灾乐祸也要不看它，这玩意处在屏幕里时伤害就离谱，甚至可以和拟态打得有来有回</t>
        </r>
      </text>
    </comment>
    <comment ref="D104" authorId="120">
      <text>
        <r>
          <rPr>
            <sz val="10"/>
            <rFont val="宋体"/>
            <charset val="134"/>
          </rPr>
          <t>没啥卵用，容易鱼脑，收到伤害一定量还会暴毙。占位置，不太好可以提升成功率，帮我快速摸了很多ego还是有点用的，成功率加成可以让摸很多需求高质量工作的异想体更保险（比如说溶解之爱），但是对生存压力纯属负优化20自律也就值4%成功率，效果也就那样，建议斟酌入手</t>
        </r>
      </text>
    </comment>
    <comment ref="D106" authorId="121">
      <text>
        <r>
          <rPr>
            <sz val="10"/>
            <rFont val="宋体"/>
            <charset val="134"/>
          </rPr>
          <t>极端情况（甲差的情况摸A/数删）可以辅助，其他时候放置。不如黄泉列车。这个恢复太慢了，而且时间不好把控。还不如黄泉列车</t>
        </r>
      </text>
    </comment>
    <comment ref="D108" authorId="122">
      <text>
        <r>
          <rPr>
            <sz val="10"/>
            <rFont val="宋体"/>
            <charset val="134"/>
          </rPr>
          <t>永远纪念开树汁的几位员工一天结束之前猛喝三四口，只要在炸之前结束工作就不会炸，而且每天第一口固定不会炸所以拿来占位还挺好（小技巧之，让一级员工在设施里疯狂猛喝，不要让员工离开设施，喝死了就自己在设施爆炸，运气好可以一次性摸完</t>
        </r>
      </text>
    </comment>
    <comment ref="D110" authorId="123">
      <text>
        <r>
          <rPr>
            <sz val="10"/>
            <rFont val="宋体"/>
            <charset val="134"/>
          </rPr>
          <t>前期刷正义神器还可以用来改5级员工的职称，但没啥别的用了，个人推荐度中上转性魔镜，我滴超人这位真好用，在前期缺高级异想体导致属性偏科，可以把点数洗到其他属性上，例如我只有刷精神和自律的，我刷满后洗点变成勇气满正义满，再去提升精神自律，两天一个V。后期可以帮助精策，例如招出全三新人后去洗点把一项洗成1或2（这样多的属性会转移到其他的变5），然后准备阶段升低级属性就只要少量点数，可以省不少。每天第一件事就是全体集合都刷一遍这个还可以快速刷ex，各项五级以后可以刷着看，每天一次</t>
        </r>
      </text>
    </comment>
    <comment ref="D111" authorId="124">
      <text>
        <r>
          <rPr>
            <sz val="10"/>
            <rFont val="宋体"/>
            <charset val="134"/>
          </rPr>
          <t>抑制红姐の逃课神器，里面放个炮灰，挂个2倍速，去喝个下午茶，抑制成功。</t>
        </r>
      </text>
    </comment>
    <comment ref="D112" authorId="125">
      <text>
        <r>
          <rPr>
            <sz val="10"/>
            <rFont val="宋体"/>
            <charset val="134"/>
          </rPr>
          <t>注：鱼脑主管的“福音”。（指忘记出来可以白干）这个放的太慢了，建议捏一个炮灰去血肉偶像那里祈祷，一下子全放出来。然后到处躲异想体和引导一无所有去打红姐。最后红姐的瞬移斩杀时在躲避难所，剩下就等，她到处飞吃伤害自己会被撞死</t>
        </r>
      </text>
    </comment>
    <comment ref="D114" authorId="126">
      <text>
        <r>
          <rPr>
            <sz val="10"/>
            <rFont val="宋体"/>
            <charset val="134"/>
          </rPr>
          <t>回血功能在天时地利人和的情况下可以配合打白夜（原来刚工作完不能在倒计时结束前指派工作，直接死，服了</t>
        </r>
      </text>
    </comment>
    <comment ref="B115" authorId="127">
      <text>
        <r>
          <rPr>
            <sz val="10"/>
            <rFont val="宋体"/>
            <charset val="134"/>
          </rPr>
          <t>这个是陆生𩽾𩾌陆生鮟鱇吧</t>
        </r>
      </text>
    </comment>
    <comment ref="D115" authorId="128">
      <text>
        <r>
          <rPr>
            <sz val="10"/>
            <rFont val="宋体"/>
            <charset val="134"/>
          </rPr>
          <t>出逃之后机制杀，不光不给你位置，而且碰一下就死，很不建议选</t>
        </r>
      </text>
    </comment>
    <comment ref="D116" authorId="129">
      <text>
        <r>
          <rPr>
            <sz val="10"/>
            <rFont val="宋体"/>
            <charset val="134"/>
          </rPr>
          <t>小于40秒计数器立刻减小换句话说，自律不是1摸了就跑虽然出逃好打，但直接出现在员工脚下的概率不为0te最史，和he的巨婴相比只能说难分伯仲要工作时间低于40秒，建议别急着开图鉴，丢个二级自律过去差不多刚刚好，等能源拿够了开完直接退货</t>
        </r>
      </text>
    </comment>
    <comment ref="D118" authorId="130">
      <text>
        <r>
          <rPr>
            <sz val="10"/>
            <rFont val="宋体"/>
            <charset val="134"/>
          </rPr>
          <t>貌似用画像，避难所转伤害的那个被修复了，直接用变使徒前的员工好像页不行了。貌似不能用这个逃课了的确这个bug被修复了，不能逃课了，还占一个位置建议不选。员工进去就出不来了，只能送炮灰，发电也没多少还占位置，建议不选画像避难所的bug没完全修干净，可以拿红抗高的员工，比如说拟态久能生一千多，哪怕全属性三级的员工也能生二百之前新手盲选了这个把我唯一一三级员工派进去了...，配合幸福机拿一级员工发电快速攒能源还是挺好用的这玩意作用基本就是去掉一个融毁单元，开图鉴我拿7lob捏的5勇气炮灰穿小喙开的</t>
        </r>
      </text>
    </comment>
    <comment ref="B119" authorId="131">
      <text>
        <r>
          <rPr>
            <sz val="10"/>
            <rFont val="宋体"/>
            <charset val="134"/>
          </rPr>
          <t>回员工血，掉主管san</t>
        </r>
      </text>
    </comment>
    <comment ref="D120" authorId="132">
      <text>
        <r>
          <rPr>
            <sz val="10"/>
            <rFont val="宋体"/>
            <charset val="134"/>
          </rPr>
          <t>极端情况可以辅助摸A/数删，回复量优秀；建议是回库的时候跟着A一起拉走。留下来虽然难管，但回复量真的不错，在2倍速的情况下差不多一分钟就会亮四盏灯，要派人看着，非常麻烦，破坏游戏体验嘿主管，火车响了：）千万千万千万不要常带，你的游戏体验会非常难受</t>
        </r>
      </text>
    </comment>
    <comment ref="D122" authorId="133">
      <text>
        <r>
          <rPr>
            <sz val="10"/>
            <rFont val="宋体"/>
            <charset val="134"/>
          </rPr>
          <t>谨慎高于二级的员工工作就出逃，不过有俩五级员工就打回去了绿叶仙踪四人组。其余两人需要下个mod还能触发说谎大人的特殊事件。是官方漫画里有的异想体和事件mod的东西就别放在官方的游戏里面讲了啊喂！很烦……忘了准备谨慎二员工给它然后融毁跑了好几次，个人觉得可以称为反文保协了，建议有文保协主管拿完退货，不然一直揍虽然很简单但烦（我大鸟和稻草人做邻居，鱼脑有时候忘了处理会搅的天翻地覆推荐，2谨慎5自律可以一天变5级员工，注意饰品加精神，有可能摸着摸着变成三级很容易出逃 但是也很容易打回去，一群白板员工群殴 注意让血条低的早点撤离也能给他揍回去收容中打的是白伤，但出逃后打的是黑伤！！！有小红帽别收了，三次工作自动召唤帽姐，好出生啊，怎么不是差的推荐度，ego也不太行</t>
        </r>
      </text>
    </comment>
    <comment ref="E122" authorId="134">
      <text>
        <r>
          <rPr>
            <sz val="10"/>
            <rFont val="宋体"/>
            <charset val="134"/>
          </rPr>
          <t>决死之心就给他揍回去了
四项技能成功率：
红紫蓝一般，洞察极高
用来反复练技能，出来一次锤回去一次hhhh</t>
        </r>
      </text>
    </comment>
    <comment ref="D124" authorId="135">
      <text>
        <r>
          <rPr>
            <sz val="10"/>
            <rFont val="宋体"/>
            <charset val="134"/>
          </rPr>
          <t>这东西跟0-04-84陆生鮟鱇刚好反着，一个大于四十一个小于四十出来看不着对鱼脑主管毁灭性打击，不建议鱼脑收对员工的伤害是一次性，员工打红盾再打，它就老实飘回去了太好管了，-32还能不减计数器，不融毁都出不来的</t>
        </r>
      </text>
    </comment>
    <comment ref="G124" authorId="136">
      <text>
        <r>
          <rPr>
            <sz val="10"/>
            <rFont val="宋体"/>
            <charset val="134"/>
          </rPr>
          <t>要求在该部门一通乱点找到，找到了基本没威胁，打红盾绝对安全，但没找着（惩戒等暗色部门常见情况）那就完了赶紧杀文职吧（有文保协情况下）</t>
        </r>
      </text>
    </comment>
    <comment ref="D126" authorId="137">
      <text>
        <r>
          <rPr>
            <sz val="10"/>
            <rFont val="宋体"/>
            <charset val="134"/>
          </rPr>
          <t>出逃也很容易打，确保尸山清洁工扫过地之后，让镇压队看一眼，恢复san值之后再打就行因为恐惧机制我之前没怎么搞懂，所以之前为了打惩戒部的挑战我直接玩不起拿兔子打的（兔子看到数据删除一点动静都没有，nb）拟态疯了然后一直打盾就能揍回去.....前提是有好的白伤武器五级员工依然有可能因为精神值归零出逃。。。。这玩意的恐惧等级有点高有人皮，异世肖像可以安全摸，有尸山套安全镇压出逃建议前期先放放哈，不好摸17天出来了书山乐团怪婴，因为是重开所以有兔子队和a套（）思考了一下打算用启示录摸书山（又想了一下我这是图啥也不能练级）新手前期强烈不推荐一周目18天选到，作为新手根本应对不了，我精神118的员工穿着目前最好的黑抗甲（魔弹0.7），进去大概三分之一失败就突破收容，重开5次失败5次，十三个五级员工最多锤掉一半多一点点的血17天收到这个玩意，尸山套装+人皮启示录+五级员工+你一定要幸福，每次警报后洞察两次才勉强开完它的图鉴，真的建议有兔子队之后再收这个东西在wiki看到的邪道摸法，弄一个5155的员工穿尸山套进去洞察，95成功率几乎不会疯，光速摸出武器，然后就可以考虑收留还是退货了。摸的员工一天结束后也会变成5555，可以带上钳子继续当保姆。有银河饰品好摸 W套也能碰进去一个疯一个，一点也不好管，中有点低了有新星套的话还是能摸的，不过如果有银河之子的鹅卵石能更稳第18天收容恐惧8级无法战胜，怒回库19天来人皮加圣宣强行摸满，然后22天就摸出大鸟和尸山拿下w</t>
        </r>
      </text>
    </comment>
    <comment ref="E126" authorId="138">
      <text>
        <r>
          <rPr>
            <sz val="10"/>
            <rFont val="宋体"/>
            <charset val="134"/>
          </rPr>
          <t>对抗红伤敌人配合拟态食用更佳红伤非红免拟态套就行，数删钳应对面更广抬手慢了点，但是回血太好用了，就业面极广</t>
        </r>
      </text>
    </comment>
    <comment ref="G126" authorId="139">
      <text>
        <r>
          <rPr>
            <sz val="10"/>
            <rFont val="宋体"/>
            <charset val="134"/>
          </rPr>
          <t>这东西最好叫兔子队来，主要是会生仔，员工镇压的时候基本都是疯的疯，绝望的绝望。参考镇压方案
方法一：所有镇压员工先见面然后退后补蓝，然后笑靥清尸体加硬抗，其余远程消耗或者偷屁股
方法二：用帽姐处理小数删，然后其余重复方法一
方法三：兔子队稳赢</t>
        </r>
      </text>
    </comment>
    <comment ref="B127" authorId="140">
      <text>
        <r>
          <rPr>
            <sz val="10"/>
            <rFont val="宋体"/>
            <charset val="134"/>
          </rPr>
          <t>可以配合Dacapo双倍吸收白伤</t>
        </r>
      </text>
    </comment>
    <comment ref="D128" authorId="141">
      <text>
        <r>
          <rPr>
            <sz val="10"/>
            <rFont val="宋体"/>
            <charset val="134"/>
          </rPr>
          <t>捉个错字虫，是摸数删~精神值上限增加仅在当天有效精神值不超过76读满都是赚的，不超过46读多少次都是赚的，和装备抗性等级人物都无关。</t>
        </r>
      </text>
    </comment>
    <comment ref="D130" authorId="142">
      <text>
        <r>
          <rPr>
            <sz val="10"/>
            <rFont val="宋体"/>
            <charset val="134"/>
          </rPr>
          <t>可是我不是很想死员工呜呜可以让扛伤员工给银河之子精灵盛宴汽水机这类有回血buff的异想体工作，这样可以避免死员工@薇尔collge 我当初开一无图鉴时就是这么来的这个东西可以用来摸CENSORED！wiki里说的最大精神值应该实际指的是当前精神值，摸censored的时候，如果用的是一级谨慎员工，扣完60%精神之后，如果只剩10，可能转移不了伤害</t>
        </r>
      </text>
    </comment>
    <comment ref="D131" authorId="143">
      <text>
        <r>
          <rPr>
            <sz val="10"/>
            <rFont val="宋体"/>
            <charset val="134"/>
          </rPr>
          <t>饰品太丑了，外观党崩溃饰品巨丑而且5%极易获得，对脑叶暖暖主管造成极大白伤。嫌饰品丑的话可以在准备界面隐藏饰品</t>
        </r>
      </text>
    </comment>
    <comment ref="D132" authorId="144">
      <text>
        <r>
          <rPr>
            <sz val="10"/>
            <rFont val="宋体"/>
            <charset val="134"/>
          </rPr>
          <t>真·看脸</t>
        </r>
      </text>
    </comment>
    <comment ref="D134" authorId="145">
      <text>
        <r>
          <rPr>
            <sz val="10"/>
            <rFont val="宋体"/>
            <charset val="134"/>
          </rPr>
          <t>出逃了就是文职清理大师，与文保协一同收容时：低关键是这东西出不来，2计数不容易被放不说，杀文职还不留尸体，和文保协联动的可能性几乎为0。这东西能出来那设施里估计早就群魔乱舞了都不过这东西只要出来了你文保协就镇压不了，你镇压了还得出来但跑出来了就是大爷 打D49的时候如果收容在其他部门就格外麻烦 另外是特别要注意Hod抑制和D47的减属性debuff 很容易变成跑了还不知道到底是为什么跑了的局面出逃可能只有各种减计数器的（恶臭巨婴等），培训部抑制，福利部抑制熔毁白伤，打天启鸟没注意，出来就是重开，平时比焦化少女还稳定，推荐度中偏高出逃大部分都是已经可以重开的局面，少部分是它会造成可以重开的局面，能管就收没打hod核心抑制之前别收进来</t>
        </r>
      </text>
    </comment>
    <comment ref="E134" authorId="146">
      <text>
        <r>
          <rPr>
            <sz val="10"/>
            <rFont val="宋体"/>
            <charset val="134"/>
          </rPr>
          <t>精神值越高白伤越高，貌似是群攻</t>
        </r>
      </text>
    </comment>
    <comment ref="F134" authorId="147">
      <text>
        <r>
          <rPr>
            <sz val="10"/>
            <rFont val="宋体"/>
            <charset val="134"/>
          </rPr>
          <t>可以自己下mod，修复这个恢复精神不触发的bug不要推荐拆东墙补西墙的东西啊喂！</t>
        </r>
      </text>
    </comment>
    <comment ref="G134" authorId="148">
      <text>
        <r>
          <rPr>
            <sz val="10"/>
            <rFont val="宋体"/>
            <charset val="134"/>
          </rPr>
          <t>参考镇压方案
方法一：waw级的尽量上，记得打白盾回蓝弹
方法二：兔子队稳赢这个东西镇压的难点在出逃时随机瞬移和全图AOE，没办法预估出逃后的出现地点，甚至到后期都存在你大部队在赶路过来的过程中就死的死疯的疯了的情况弱白的员工镇压的时候很容易疯，建议全塞电梯间打盾，不弱白的带上个群体回蓝可以稳定镇压</t>
        </r>
      </text>
    </comment>
    <comment ref="B135" authorId="149">
      <text>
        <r>
          <rPr>
            <sz val="10"/>
            <rFont val="宋体"/>
            <charset val="134"/>
          </rPr>
          <t>？？？这里因该是你一定要幸福</t>
        </r>
      </text>
    </comment>
    <comment ref="D136" authorId="150">
      <text>
        <r>
          <rPr>
            <sz val="10"/>
            <rFont val="宋体"/>
            <charset val="134"/>
          </rPr>
          <t>专治Hod抑制和D47降属性（在前期应对绿正午或者难对付的异想体的时候非常非常好用如果你愿意凹，相当于前期用1lob点招一个一次性的全100工具人，如果大前期招了属性要求高的可以考虑用来刷ego或者过考验。缺点是游戏内不能换ego，因此工具人死带的ego也会一起消失，而且初始的全1员工能在准备阶段穿的甲也很有限。如果锁妈抑制融毁到可以员工一进去就放出来 最多-2-3</t>
        </r>
      </text>
    </comment>
    <comment ref="D138" authorId="151">
      <text>
        <r>
          <rPr>
            <sz val="10"/>
            <rFont val="宋体"/>
            <charset val="134"/>
          </rPr>
          <t>要修复这个bug，开mod才有加成，喂！！！！！唯一真史</t>
        </r>
      </text>
    </comment>
    <comment ref="D140" authorId="152">
      <text>
        <r>
          <rPr>
            <sz val="10"/>
            <rFont val="宋体"/>
            <charset val="134"/>
          </rPr>
          <t>不好用，好几次重开都因为他新人和鱼脑杀手 而且一旦30s内误点归还基本妥妥重开 但没有误操作的话正义加成挺香的拿完不管到第2天解决一切问题</t>
        </r>
      </text>
    </comment>
    <comment ref="D142" authorId="153">
      <text>
        <r>
          <rPr>
            <sz val="10"/>
            <rFont val="宋体"/>
            <charset val="134"/>
          </rPr>
          <t>个人推荐度：差无他，失败碎武器连回库都救不了，如果不想重新搞EGO建议不收容开工作须知可以直接用一罪EGO凑次数而且强化之后的武器第二天属性还原，高级武器风险大，低级武器没啥影响，整体来说可有可无差！差！差！武器会还原，还有风险报销。镇暴棍可以解除融毁古老的非酋与欧皇古老的欧皇与暴死有个邪门用法就是刷完EGO可以故意强化失败一次强制存档再继续加班，这样加班出意外重新开始这天EGO还在完全没有必要冒报销武器的风险去加那一点攻击，所以个人认为这个推荐度为差有收容难管的异想体时建议选(尤其是乐团),我靠这个在紫午夜之前把大擦破摸出来保存的加成挺没用，但ego已经做满时销毁武器做研发部任务好用</t>
        </r>
      </text>
    </comment>
    <comment ref="D144" authorId="154">
      <text>
        <r>
          <rPr>
            <sz val="10"/>
            <rFont val="宋体"/>
            <charset val="134"/>
          </rPr>
          <t>前期要小心好不容易点的自律四拿了饰品被机制杀（拿饰品，降自律，机制杀）</t>
        </r>
      </text>
    </comment>
    <comment ref="E144" authorId="155">
      <text>
        <r>
          <rPr>
            <sz val="10"/>
            <rFont val="宋体"/>
            <charset val="134"/>
          </rPr>
          <t>打不过镇暴棍这一块</t>
        </r>
      </text>
    </comment>
    <comment ref="D146" authorId="156">
      <text>
        <r>
          <rPr>
            <sz val="10"/>
            <rFont val="宋体"/>
            <charset val="134"/>
          </rPr>
          <t>如果员工立正就是恶性bug，假如是睡着还是能点醒的感觉挺好的，bug遇到次数非常少，好管理不易出逃，出逃也不用镇压自己会回去，但是集体出逃这东西真的恶心新手前期别收，容易逃，员工全部晕完自律低于2别上，偏好沟通</t>
        </r>
      </text>
    </comment>
    <comment ref="B149" authorId="157">
      <text>
        <r>
          <rPr>
            <sz val="10"/>
            <rFont val="宋体"/>
            <charset val="134"/>
          </rPr>
          <t>E.G.O 饰品还不错可爱</t>
        </r>
      </text>
    </comment>
    <comment ref="D149" authorId="158">
      <text>
        <r>
          <rPr>
            <sz val="10"/>
            <rFont val="宋体"/>
            <charset val="134"/>
          </rPr>
          <t>个人很推荐，即便出逃了就像小喙一样不管它就行，一会就自己回去了，有文保协除外，不过如果你开局就处决完，影响也不大</t>
        </r>
      </text>
    </comment>
    <comment ref="D150" authorId="159">
      <text>
        <r>
          <rPr>
            <sz val="10"/>
            <rFont val="宋体"/>
            <charset val="134"/>
          </rPr>
          <t>还可以，推荐度中，出来了指挥员工走位一下，它飞一会儿就回去了</t>
        </r>
      </text>
    </comment>
    <comment ref="E150" authorId="160">
      <text>
        <r>
          <rPr>
            <sz val="10"/>
            <rFont val="宋体"/>
            <charset val="134"/>
          </rPr>
          <t>这个也还好啦，前期好用的w武器就那么几个，还是有必要多收集的。攻击力不行，恢复精神可以主要是性价比的问题，这玩意儿本来就不容易镇压，基本上都得喊兔子，还别说一天只能拿一个……何况都能安全工作完炎雀还能工作出三个优把它放出来了，那还不如去摸新星伤害合格的远程武器谁会嫌多为啥我的图鉴显示的无武器啊镇压之后才会给EGO，建议去查查wiki</t>
        </r>
      </text>
    </comment>
    <comment ref="F150" authorId="161">
      <text>
        <r>
          <rPr>
            <sz val="10"/>
            <rFont val="宋体"/>
            <charset val="134"/>
          </rPr>
          <t>穿这个进冰雪女王房间即死还好吧，有了这个0.6红伤甲我才去摸的一无甚至不如一些t级甲</t>
        </r>
      </text>
    </comment>
    <comment ref="G150" authorId="162">
      <text>
        <r>
          <rPr>
            <sz val="10"/>
            <rFont val="宋体"/>
            <charset val="134"/>
          </rPr>
          <t>建议用兔子队镇压，小红帽不行，只能打残它就飞回去了（炎雀往回飞时免疫任何伤害），小红帽需要火力支援（或者减速弹）减速武器冰雪女王和尸山锤，注意冰甲别带，会被秒。还有小红帽不能被抢人头但出来了可以不管 过一段时间就会自己回去我22-23-24三天都是用职员镇压的（不能有弱红抗），全部门集结，尽量带紫色和红色武器（有蓝色更好但我没有），稍微再走点位，很轻松</t>
        </r>
      </text>
    </comment>
    <comment ref="B151" authorId="163">
      <text>
        <r>
          <rPr>
            <sz val="10"/>
            <rFont val="宋体"/>
            <charset val="134"/>
          </rPr>
          <t>有机会给全部战斗员工刷个饰品，扣的血蓝无足轻重，加的正义有目共睹</t>
        </r>
      </text>
    </comment>
    <comment ref="D151" authorId="164">
      <text>
        <r>
          <rPr>
            <sz val="10"/>
            <rFont val="宋体"/>
            <charset val="134"/>
          </rPr>
          <t>打白夜可以用一下，阴阳消灭使徒不会复活</t>
        </r>
      </text>
    </comment>
    <comment ref="D152" authorId="165">
      <text>
        <r>
          <rPr>
            <sz val="10"/>
            <rFont val="宋体"/>
            <charset val="134"/>
          </rPr>
          <t>收留建议在双部门一边一个，最佳一个在研发部一个在记录部，挨着的话秒变阴阳龙玩不了
饰品理论战神，可考虑给战神刷不是很容易出来，饰品：
-10生命 -10精神
+20移速 +20攻速
8%免伤</t>
        </r>
      </text>
    </comment>
    <comment ref="G152" authorId="166">
      <text>
        <r>
          <rPr>
            <sz val="10"/>
            <rFont val="宋体"/>
            <charset val="134"/>
          </rPr>
          <t>巨难镇压，人越多伤害越高，而且必须和阳一起镇压，没控制好时间，多次镇压伤亡率会越来越高。</t>
        </r>
      </text>
    </comment>
    <comment ref="D154" authorId="167">
      <text>
        <r>
          <rPr>
            <sz val="10"/>
            <rFont val="宋体"/>
            <charset val="134"/>
          </rPr>
          <t>鱼脑杀手，但是熔毁的时候可以放置</t>
        </r>
      </text>
    </comment>
    <comment ref="D156" authorId="168">
      <text>
        <r>
          <rPr>
            <sz val="10"/>
            <rFont val="宋体"/>
            <charset val="134"/>
          </rPr>
          <t>建议提前练好一个V级工具人这里少了一条，就是充能完成后必须5级员工去摸，且这个员工必死可以配合幸福机拉一个1lob五级工具人去送</t>
        </r>
      </text>
    </comment>
    <comment ref="D157" authorId="169">
      <text>
        <r>
          <rPr>
            <sz val="10"/>
            <rFont val="宋体"/>
            <charset val="134"/>
          </rPr>
          <t>3点计数器 真的非常不容易出逃 出来了之后一刀一个小文职，但是一两个好装备的员工就能打回去</t>
        </r>
      </text>
    </comment>
    <comment ref="D158" authorId="170">
      <text>
        <r>
          <rPr>
            <sz val="10"/>
            <rFont val="宋体"/>
            <charset val="134"/>
          </rPr>
          <t>还会自己回去，免费听音乐一些没用的东西：实际上月计在底层上就并没有把整首月光放进去（即使你的工作时间足够足够长），它只会在播到一定程度后重新再从开头开始循环（ 真 正 的 da capo），我估计是前90秒（因为出逃后战斗中播放的高潮段也是90秒）顺便大伙可以猜猜怎么测试出来的（）其实很简单（）饰品全属性+1，属性优秀可给战神带个，管理难度很低镇压难度也中等，推荐收留</t>
        </r>
      </text>
    </comment>
    <comment ref="C159" authorId="171">
      <text>
        <r>
          <rPr>
            <sz val="10"/>
            <rFont val="宋体"/>
            <charset val="134"/>
          </rPr>
          <t>这个其实是a级只不过它伪装成z级的</t>
        </r>
      </text>
    </comment>
    <comment ref="D160" authorId="172">
      <text>
        <r>
          <rPr>
            <sz val="10"/>
            <rFont val="宋体"/>
            <charset val="134"/>
          </rPr>
          <t>饰品部分绑定军备，至于军备强度……这个镇压异想体可以加计数器，在没有处决弹的时候可以放一个好打的异想体出来清理文职，再打回去加上军团的计数器（推荐放稻草人或蝶哥）我的存档里深黯军团隔壁就是稻草人，只要看军团的逆卡巴拉计数器快没的时候去找稻草人工作然后镇压就行了，十分好用😋😋😋</t>
        </r>
      </text>
    </comment>
    <comment ref="E160" authorId="173">
      <text>
        <r>
          <rPr>
            <sz val="10"/>
            <rFont val="宋体"/>
            <charset val="134"/>
          </rPr>
          <t>仰  卧  起  坐打出来就是成功</t>
        </r>
      </text>
    </comment>
    <comment ref="G160" authorId="174">
      <text>
        <r>
          <rPr>
            <sz val="10"/>
            <rFont val="宋体"/>
            <charset val="134"/>
          </rPr>
          <t>参考镇压方案
he级不弱黑伤的高属性员工上 最快速度清完
有小红帽的可以考虑 但是效率较低
兔子队只能处理一个分身 效率太低不推荐</t>
        </r>
      </text>
    </comment>
    <comment ref="E162" authorId="175">
      <text>
        <r>
          <rPr>
            <sz val="10"/>
            <rFont val="宋体"/>
            <charset val="134"/>
          </rPr>
          <t>可是它太可爱了（</t>
        </r>
      </text>
    </comment>
    <comment ref="D164" authorId="176">
      <text>
        <r>
          <rPr>
            <sz val="10"/>
            <rFont val="宋体"/>
            <charset val="134"/>
          </rPr>
          <t>注意是工作完成时，寄生树房间没有员工才会减少不像小鸟，这并不是简单能够处理的我甚至没能忍到记忆库前两天，当天摸得甲当天退的货亲测小技巧，感染的员工和红舞鞋一样可以点，但还是建议回库，管不住可以点感染员工点掉，但依旧建议回库可以点员工来解除魅惑</t>
        </r>
      </text>
    </comment>
    <comment ref="B165" authorId="177">
      <text>
        <r>
          <rPr>
            <sz val="10"/>
            <rFont val="宋体"/>
            <charset val="134"/>
          </rPr>
          <t>值得一提的，月计的代码让这个异想体被系统认为是 ZAYIN 级，如果你在 D13 天前看到了这个异想体供主管选择请购买正版然后升级至最新版即可~（新版本已修复）。如果前期不幸遇到了不建议选。</t>
        </r>
      </text>
    </comment>
    <comment ref="D166" authorId="178">
      <text>
        <r>
          <rPr>
            <sz val="10"/>
            <rFont val="宋体"/>
            <charset val="134"/>
          </rPr>
          <t>个人推荐度：中处理方法是让保姆单独呆在走廊里，并且清除所有会经过那条走廊的文职感染型异想体普遍不需要太过于注意，高级员工基本上都能够轻松应付它们但高级员工也是员工，也会被感染，能不碰还是尽量不要碰。爱妈摸装备的时候隔离沟通效率比较高，但之后能压迫还是建议压迫我的策略是让一个爱妈保姆包办2个房间；如果2个房间同时融毁则先让保姆进爱妈，然后再进另一个；急需同时处理的情况下，先工作爱妈，一小段时间后让另一名员工到隔壁（需要根据异想体等级调整顺序和时机）确保二人不会产生交集处理好这点，爱妈基本上是稳定的能量提取器了有了EGO后可以让员工一直压迫，出逃了用它自己的EGO镇压也还简单可以先拿笑靥然后回库再收容，融毁让笑靥套去压迫就好。还可以在必要的时候放出来镇压一无所有。需要高级紫甲不说，每一次良基本都在赌博，动不动就损失员工，个人推荐摸个甲就直接退货吧，武器就别强求了除了刷装备还是尽量压迫，主要威胁还是感染死人多，本体战斗力一般可以单独收一个部门，穿黑抗甲，部门只留一个人用来工作，清理该部门所有文职来沟通摸ego，摸完直接回库，一般员工等级高不会爆良</t>
        </r>
      </text>
    </comment>
    <comment ref="G166" authorId="179">
      <text>
        <r>
          <rPr>
            <sz val="10"/>
            <rFont val="宋体"/>
            <charset val="134"/>
          </rPr>
          <t>参考镇压方案
笑靥顶住 其余人偷袭 记得枪毙附近的文职
小分身可以让笑靥处理前期没有笑靥可以让魔弹员工镇压，但需要手动拉扯走位</t>
        </r>
      </text>
    </comment>
    <comment ref="D168" authorId="180">
      <text>
        <r>
          <rPr>
            <sz val="10"/>
            <rFont val="宋体"/>
            <charset val="134"/>
          </rPr>
          <t>唯一的优点是跑出来还算好打 但问题是除了好打没优点了 效益太低刷红姐镇压任务算是不错的选择</t>
        </r>
      </text>
    </comment>
    <comment ref="E168" authorId="181">
      <text>
        <r>
          <rPr>
            <sz val="10"/>
            <rFont val="宋体"/>
            <charset val="134"/>
          </rPr>
          <t>这种武器就应该修改数值或者重做的。w级还不如一些t级好用不明意义</t>
        </r>
      </text>
    </comment>
    <comment ref="D169" authorId="182">
      <text>
        <r>
          <rPr>
            <sz val="10"/>
            <rFont val="宋体"/>
            <charset val="134"/>
          </rPr>
          <t>暖暖主管推荐程度：极低</t>
        </r>
      </text>
    </comment>
    <comment ref="F169" authorId="183">
      <text>
        <r>
          <rPr>
            <sz val="10"/>
            <rFont val="宋体"/>
            <charset val="134"/>
          </rPr>
          <t>其实可以加一个酱油刷考验用，然后护甲就用它的</t>
        </r>
      </text>
    </comment>
    <comment ref="D170" authorId="184">
      <text>
        <r>
          <rPr>
            <sz val="10"/>
            <rFont val="宋体"/>
            <charset val="134"/>
          </rPr>
          <t>对脑叶暖暖主管造成极大的白伤我 樵夫+光头+古老承诺 放在一起了，于是捏了一个II级自律光头，拿镇暴棍的超级保姆，也算省事有头发的员工工作：
1次：该员工秃
2次：部门全秃
3次：公司全秃
给这个部门只安排1个光头员工就可以避免两次鱼脑
也可以放置不管他，不会有问题的抱着猎奇心态选了。。麦艾斯秃头安保部（</t>
        </r>
      </text>
    </comment>
    <comment ref="D183" authorId="185">
      <text>
        <r>
          <rPr>
            <sz val="10"/>
            <rFont val="宋体"/>
            <charset val="134"/>
          </rPr>
          <t>你发现我辣ww</t>
        </r>
      </text>
    </comment>
  </commentList>
</comments>
</file>

<file path=xl/comments2.xml><?xml version="1.0" encoding="utf-8"?>
<comments xmlns="http://schemas.openxmlformats.org/spreadsheetml/2006/main">
  <authors>
    <author>tc={07962AA0-E4FB-45FB-99DA-003AABF8E2D0}</author>
    <author>tc={297BA9E0-6E31-4EB6-8CDA-06AD755C8E30}</author>
    <author>tc={159EDCA6-4724-41D1-8CB1-8C6020DE4CD7}</author>
    <author>tc={A5ACBA42-7B06-4C2A-B431-8D70D8023613}</author>
    <author>tc={D1C5A6B0-5A80-4538-A010-11697C6138D6}</author>
    <author>tc={AD2AE953-32D3-4D65-8B2F-17F91D582BF0}</author>
    <author>tc={002E75C6-BAB2-46E1-A91E-8A9969464072}</author>
    <author>tc={7391ABB9-B751-471A-BA5E-C3740F3868B3}</author>
    <author>tc={0C6711B9-67C0-413D-B21D-20A407279062}</author>
    <author>tc={129693B0-B4CC-4067-9CCC-FEA171ED92C5}</author>
    <author>tc={28838322-A9BF-481D-9F05-9B53D723C069}</author>
    <author>tc={EB16B356-4A5C-4AE0-9CFD-6451F3D718B6}</author>
    <author>tc={D8D3A998-98FB-49E2-AFFD-6084C20D5B76}</author>
    <author>tc={AFD21E0B-7A62-45C0-A027-06E357D81EFA}</author>
    <author>tc={EBC47846-5831-46D8-AC15-5FF43B293350}</author>
  </authors>
  <commentList>
    <comment ref="J2" authorId="0">
      <text>
        <r>
          <rPr>
            <sz val="10"/>
            <rFont val="宋体"/>
            <charset val="134"/>
          </rPr>
          <t>孩子们 记得在还没坏的时候存备份</t>
        </r>
      </text>
    </comment>
    <comment ref="J3" authorId="1">
      <text>
        <r>
          <rPr>
            <sz val="10"/>
            <rFont val="宋体"/>
            <charset val="134"/>
          </rPr>
          <t>吾辈修好了</t>
        </r>
      </text>
    </comment>
    <comment ref="J4" authorId="2">
      <text>
        <r>
          <rPr>
            <sz val="10"/>
            <rFont val="宋体"/>
            <charset val="134"/>
          </rPr>
          <t>我已严肃修复</t>
        </r>
      </text>
    </comment>
    <comment ref="J5" authorId="3">
      <text>
        <r>
          <rPr>
            <sz val="10"/>
            <rFont val="宋体"/>
            <charset val="134"/>
          </rPr>
          <t>谁刚刚和我同时用了啊</t>
        </r>
      </text>
    </comment>
    <comment ref="M5" authorId="4">
      <text>
        <r>
          <rPr>
            <sz val="10"/>
            <rFont val="宋体"/>
            <charset val="134"/>
          </rPr>
          <t>到此一游</t>
        </r>
      </text>
    </comment>
    <comment ref="A6" authorId="5">
      <text>
        <r>
          <rPr>
            <sz val="10"/>
            <rFont val="宋体"/>
            <charset val="134"/>
          </rPr>
          <t>是怎么老是有人弄坏啊</t>
        </r>
      </text>
    </comment>
    <comment ref="B6" authorId="6">
      <text>
        <r>
          <rPr>
            <sz val="10"/>
            <rFont val="宋体"/>
            <charset val="134"/>
          </rPr>
          <t>点✅就行，别乱加别的</t>
        </r>
      </text>
    </comment>
    <comment ref="E6" authorId="7">
      <text>
        <r>
          <rPr>
            <sz val="10"/>
            <rFont val="宋体"/>
            <charset val="134"/>
          </rPr>
          <t>谁要是不小心搞坏了，记得左上角撤销。如果已经坏了，按以下步骤修复：右键→数据验证→下拉选项，翻“单元格修订记录”把颜色和罗马数字按顺序对应好后保存</t>
        </r>
      </text>
    </comment>
    <comment ref="J6" authorId="8">
      <text>
        <r>
          <rPr>
            <sz val="10"/>
            <rFont val="宋体"/>
            <charset val="134"/>
          </rPr>
          <t>这个筛选条坏了TAT修好了又坏了（悲）修好了右上角可以看以前的修订记录，找个还没坏的复制粘贴单元格就行了已修这个提升二十点就会提高一个罗马数字是吗</t>
        </r>
      </text>
    </comment>
    <comment ref="K6" authorId="9">
      <text>
        <r>
          <rPr>
            <sz val="10"/>
            <rFont val="宋体"/>
            <charset val="134"/>
          </rPr>
          <t>哪个好人给搞坏了还得复制粘贴修一下刚修好，有人好奇删了不会修某些煞笔搞坏了不去群里求助怎么修是会要命了吗？我现在刚修好，某些傻逼别乱搞了谢谢。</t>
        </r>
      </text>
    </comment>
    <comment ref="J7" authorId="10">
      <text>
        <r>
          <rPr>
            <sz val="10"/>
            <rFont val="宋体"/>
            <charset val="134"/>
          </rPr>
          <t>笑死了，什么赛博公有制点快了搞坏记得左上角撤回一下</t>
        </r>
      </text>
    </comment>
    <comment ref="E8" authorId="11">
      <text>
        <r>
          <rPr>
            <sz val="10"/>
            <rFont val="宋体"/>
            <charset val="134"/>
          </rPr>
          <t>用完了之后选定框记得挪开哦，不然别人可能分不清你在不在用呢，蟹蟹啦~</t>
        </r>
      </text>
    </comment>
    <comment ref="J8" authorId="12">
      <text>
        <r>
          <rPr>
            <sz val="10"/>
            <rFont val="宋体"/>
            <charset val="134"/>
          </rPr>
          <t>为啥坏了</t>
        </r>
      </text>
    </comment>
    <comment ref="M13" authorId="13">
      <text>
        <r>
          <rPr>
            <sz val="10"/>
            <rFont val="宋体"/>
            <charset val="134"/>
          </rPr>
          <t>怎么又坏了</t>
        </r>
      </text>
    </comment>
    <comment ref="J42" authorId="14">
      <text>
        <r>
          <rPr>
            <sz val="10"/>
            <rFont val="宋体"/>
            <charset val="134"/>
          </rPr>
          <t>Hod宝宝太可爱了呜呜呜</t>
        </r>
      </text>
    </comment>
  </commentList>
</comments>
</file>

<file path=xl/comments3.xml><?xml version="1.0" encoding="utf-8"?>
<comments xmlns="http://schemas.openxmlformats.org/spreadsheetml/2006/main">
  <authors>
    <author>tc={C06D0CF3-D3F2-4CB2-9926-29F5EA06A7DA}</author>
  </authors>
  <commentList>
    <comment ref="A1" authorId="0">
      <text>
        <r>
          <rPr>
            <sz val="10"/>
            <rFont val="宋体"/>
            <charset val="134"/>
          </rPr>
          <t>新人和鱼脑杀手 带饰品大擦破甲的渴望之心 但注意这个东西会额外减谨慎</t>
        </r>
      </text>
    </comment>
  </commentList>
</comments>
</file>

<file path=xl/sharedStrings.xml><?xml version="1.0" encoding="utf-8"?>
<sst xmlns="http://schemas.openxmlformats.org/spreadsheetml/2006/main" count="862" uniqueCount="516">
  <si>
    <t>异想体编号</t>
  </si>
  <si>
    <t>异想体名称</t>
  </si>
  <si>
    <t>危险等级</t>
  </si>
  <si>
    <t>管理推荐度</t>
  </si>
  <si>
    <r>
      <rPr>
        <b/>
        <sz val="16"/>
        <color rgb="FFFFFFFF"/>
        <rFont val="微软雅黑"/>
        <charset val="134"/>
      </rPr>
      <t>EGO</t>
    </r>
    <r>
      <rPr>
        <b/>
        <sz val="16"/>
        <color rgb="FFEB0E0B"/>
        <rFont val="微软雅黑"/>
        <charset val="134"/>
      </rPr>
      <t>武器</t>
    </r>
    <r>
      <rPr>
        <b/>
        <sz val="16"/>
        <color rgb="FFFFFFFF"/>
        <rFont val="微软雅黑"/>
        <charset val="134"/>
      </rPr>
      <t>推荐度</t>
    </r>
  </si>
  <si>
    <r>
      <rPr>
        <b/>
        <sz val="16"/>
        <color rgb="FFFFFFFF"/>
        <rFont val="微软雅黑"/>
        <charset val="134"/>
      </rPr>
      <t>EGO</t>
    </r>
    <r>
      <rPr>
        <b/>
        <sz val="16"/>
        <color rgb="FF21AEFF"/>
        <rFont val="微软雅黑"/>
        <charset val="134"/>
      </rPr>
      <t>防具</t>
    </r>
    <r>
      <rPr>
        <b/>
        <sz val="16"/>
        <color rgb="FFFFFFFF"/>
        <rFont val="微软雅黑"/>
        <charset val="134"/>
      </rPr>
      <t>推荐度</t>
    </r>
  </si>
  <si>
    <t>镇压任务小评</t>
  </si>
  <si>
    <t>x</t>
  </si>
  <si>
    <r>
      <rPr>
        <sz val="12"/>
        <color rgb="FFFFFFFF"/>
        <rFont val="Microsoft YaHei"/>
        <charset val="134"/>
      </rPr>
      <t>管理推荐度表示是否推荐主管&lt;长期收容&gt;这个异想体。</t>
    </r>
    <r>
      <rPr>
        <sz val="12"/>
        <color rgb="FFFFFFFF"/>
        <rFont val="等线"/>
        <charset val="134"/>
        <scheme val="minor"/>
      </rPr>
      <t xml:space="preserve">
</t>
    </r>
    <r>
      <rPr>
        <b/>
        <sz val="12"/>
        <color rgb="FF70EF42"/>
        <rFont val="Microsoft YaHei"/>
        <charset val="134"/>
      </rPr>
      <t>高</t>
    </r>
    <r>
      <rPr>
        <sz val="12"/>
        <color rgb="FFFFFFFF"/>
        <rFont val="Microsoft YaHei"/>
        <charset val="134"/>
      </rPr>
      <t>表示该异想体对主管有一定的帮助，且管理难度不高。</t>
    </r>
    <r>
      <rPr>
        <sz val="12"/>
        <color rgb="FFFFFFFF"/>
        <rFont val="等线"/>
        <charset val="134"/>
        <scheme val="minor"/>
      </rPr>
      <t xml:space="preserve">
</t>
    </r>
    <r>
      <rPr>
        <b/>
        <sz val="12"/>
        <color rgb="FFFDFE9B"/>
        <rFont val="Microsoft YaHei"/>
        <charset val="134"/>
      </rPr>
      <t>中</t>
    </r>
    <r>
      <rPr>
        <sz val="12"/>
        <color rgb="FFFFFFFF"/>
        <rFont val="Microsoft YaHei"/>
        <charset val="134"/>
      </rPr>
      <t>表示在主管中后期，没什么威胁的异想体。</t>
    </r>
    <r>
      <rPr>
        <sz val="12"/>
        <color rgb="FFFFFFFF"/>
        <rFont val="等线"/>
        <charset val="134"/>
        <scheme val="minor"/>
      </rPr>
      <t xml:space="preserve">
</t>
    </r>
    <r>
      <rPr>
        <b/>
        <sz val="12"/>
        <color rgb="FFF42C3E"/>
        <rFont val="Microsoft YaHei"/>
        <charset val="134"/>
      </rPr>
      <t>低</t>
    </r>
    <r>
      <rPr>
        <sz val="12"/>
        <color rgb="FFFFFFFF"/>
        <rFont val="Microsoft YaHei"/>
        <charset val="134"/>
      </rPr>
      <t>表示即便在中后期，也需要主管耗费精力着重处理的异想体。</t>
    </r>
    <r>
      <rPr>
        <sz val="12"/>
        <color rgb="FFFFFFFF"/>
        <rFont val="等线"/>
        <charset val="134"/>
        <scheme val="minor"/>
      </rPr>
      <t xml:space="preserve">
</t>
    </r>
    <r>
      <rPr>
        <b/>
        <sz val="12"/>
        <color rgb="FFF42C3E"/>
        <rFont val="Microsoft YaHei"/>
        <charset val="134"/>
      </rPr>
      <t>极低</t>
    </r>
    <r>
      <rPr>
        <sz val="12"/>
        <color rgb="FFFFFFFF"/>
        <rFont val="Microsoft YaHei"/>
        <charset val="134"/>
      </rPr>
      <t>为白夜专属，用来警示新人别选</t>
    </r>
  </si>
  <si>
    <r>
      <rPr>
        <sz val="12"/>
        <color rgb="FFFFFFFF"/>
        <rFont val="微软雅黑"/>
        <charset val="134"/>
      </rPr>
      <t>武器推荐中的优良差仅为同级中的比较，同级</t>
    </r>
    <r>
      <rPr>
        <sz val="12"/>
        <color rgb="FF70EF42"/>
        <rFont val="微软雅黑"/>
        <charset val="134"/>
      </rPr>
      <t>优</t>
    </r>
    <r>
      <rPr>
        <sz val="12"/>
        <color rgb="FFFFFFFF"/>
        <rFont val="微软雅黑"/>
        <charset val="134"/>
      </rPr>
      <t>&gt;</t>
    </r>
    <r>
      <rPr>
        <sz val="12"/>
        <color rgb="FFFDFE9B"/>
        <rFont val="微软雅黑"/>
        <charset val="134"/>
      </rPr>
      <t>良</t>
    </r>
    <r>
      <rPr>
        <sz val="12"/>
        <color rgb="FFFFFFFF"/>
        <rFont val="微软雅黑"/>
        <charset val="134"/>
      </rPr>
      <t>&gt;</t>
    </r>
    <r>
      <rPr>
        <sz val="12"/>
        <color rgb="FFF42C3E"/>
        <rFont val="微软雅黑"/>
        <charset val="134"/>
      </rPr>
      <t>差</t>
    </r>
    <r>
      <rPr>
        <sz val="12"/>
        <color rgb="FFFFFFFF"/>
        <rFont val="微软雅黑"/>
        <charset val="134"/>
      </rPr>
      <t>。</t>
    </r>
    <r>
      <rPr>
        <b/>
        <sz val="12"/>
        <color rgb="FFFFFFFF"/>
        <rFont val="微软雅黑"/>
        <charset val="134"/>
      </rPr>
      <t xml:space="preserve">
</t>
    </r>
    <r>
      <rPr>
        <b/>
        <sz val="12"/>
        <color rgb="FFF42C3E"/>
        <rFont val="微软雅黑"/>
        <charset val="134"/>
      </rPr>
      <t>等级高于推荐度</t>
    </r>
    <r>
      <rPr>
        <sz val="12"/>
        <color rgb="FFFFFFFF"/>
        <rFont val="微软雅黑"/>
        <charset val="134"/>
      </rPr>
      <t>，</t>
    </r>
    <r>
      <rPr>
        <sz val="12"/>
        <color rgb="FFF42C3E"/>
        <rFont val="微软雅黑"/>
        <charset val="134"/>
      </rPr>
      <t>差A</t>
    </r>
    <r>
      <rPr>
        <sz val="12"/>
        <color rgb="FFFFFFFF"/>
        <rFont val="微软雅黑"/>
        <charset val="134"/>
      </rPr>
      <t>&gt;</t>
    </r>
    <r>
      <rPr>
        <sz val="12"/>
        <color rgb="FF70EF42"/>
        <rFont val="微软雅黑"/>
        <charset val="134"/>
      </rPr>
      <t>优</t>
    </r>
    <r>
      <rPr>
        <sz val="12"/>
        <color rgb="FF8939FC"/>
        <rFont val="微软雅黑"/>
        <charset val="134"/>
      </rPr>
      <t>W</t>
    </r>
    <r>
      <rPr>
        <sz val="12"/>
        <color rgb="FFFFFFFF"/>
        <rFont val="微软雅黑"/>
        <charset val="134"/>
      </rPr>
      <t>，</t>
    </r>
    <r>
      <rPr>
        <sz val="12"/>
        <color rgb="FFF42C3E"/>
        <rFont val="微软雅黑"/>
        <charset val="134"/>
      </rPr>
      <t>差</t>
    </r>
    <r>
      <rPr>
        <sz val="12"/>
        <color rgb="FF8939FC"/>
        <rFont val="微软雅黑"/>
        <charset val="134"/>
      </rPr>
      <t>W</t>
    </r>
    <r>
      <rPr>
        <sz val="12"/>
        <color rgb="FFFFFFFF"/>
        <rFont val="微软雅黑"/>
        <charset val="134"/>
      </rPr>
      <t>&gt;</t>
    </r>
    <r>
      <rPr>
        <sz val="12"/>
        <color rgb="FF70EF42"/>
        <rFont val="微软雅黑"/>
        <charset val="134"/>
      </rPr>
      <t>优</t>
    </r>
    <r>
      <rPr>
        <sz val="12"/>
        <color rgb="FFFFFF0B"/>
        <rFont val="微软雅黑"/>
        <charset val="134"/>
      </rPr>
      <t>H</t>
    </r>
    <r>
      <rPr>
        <sz val="12"/>
        <color rgb="FFFFFFFF"/>
        <rFont val="微软雅黑"/>
        <charset val="134"/>
      </rPr>
      <t>，</t>
    </r>
    <r>
      <rPr>
        <sz val="12"/>
        <color rgb="FFF42C3E"/>
        <rFont val="微软雅黑"/>
        <charset val="134"/>
      </rPr>
      <t>差</t>
    </r>
    <r>
      <rPr>
        <sz val="12"/>
        <color rgb="FFFFFF0B"/>
        <rFont val="微软雅黑"/>
        <charset val="134"/>
      </rPr>
      <t>H</t>
    </r>
    <r>
      <rPr>
        <sz val="12"/>
        <color rgb="FFFFFFFF"/>
        <rFont val="微软雅黑"/>
        <charset val="134"/>
      </rPr>
      <t>&gt;</t>
    </r>
    <r>
      <rPr>
        <sz val="12"/>
        <color rgb="FF70EF42"/>
        <rFont val="微软雅黑"/>
        <charset val="134"/>
      </rPr>
      <t>优</t>
    </r>
    <r>
      <rPr>
        <sz val="12"/>
        <color rgb="FF21AEFF"/>
        <rFont val="微软雅黑"/>
        <charset val="134"/>
      </rPr>
      <t>T</t>
    </r>
    <r>
      <rPr>
        <sz val="12"/>
        <color rgb="FFFFFFFF"/>
        <rFont val="微软雅黑"/>
        <charset val="134"/>
      </rPr>
      <t xml:space="preserve">。
</t>
    </r>
    <r>
      <rPr>
        <sz val="12"/>
        <color rgb="FFF42C3E"/>
        <rFont val="微软雅黑"/>
        <charset val="134"/>
      </rPr>
      <t>极差</t>
    </r>
    <r>
      <rPr>
        <sz val="12"/>
        <color rgb="FFFFFFFF"/>
        <rFont val="微软雅黑"/>
        <charset val="134"/>
      </rPr>
      <t>一般可以被下位等级的优取代，比如</t>
    </r>
    <r>
      <rPr>
        <sz val="12"/>
        <color rgb="FF70EF42"/>
        <rFont val="微软雅黑"/>
        <charset val="134"/>
      </rPr>
      <t>优</t>
    </r>
    <r>
      <rPr>
        <sz val="12"/>
        <color rgb="FFFFFF0B"/>
        <rFont val="微软雅黑"/>
        <charset val="134"/>
      </rPr>
      <t>H</t>
    </r>
    <r>
      <rPr>
        <sz val="12"/>
        <color rgb="FFFFFFFF"/>
        <rFont val="微软雅黑"/>
        <charset val="134"/>
      </rPr>
      <t>&gt;</t>
    </r>
    <r>
      <rPr>
        <sz val="12"/>
        <color rgb="FFF42C3E"/>
        <rFont val="微软雅黑"/>
        <charset val="134"/>
      </rPr>
      <t>极差</t>
    </r>
    <r>
      <rPr>
        <sz val="12"/>
        <color rgb="FF8939FC"/>
        <rFont val="微软雅黑"/>
        <charset val="134"/>
      </rPr>
      <t>W</t>
    </r>
    <r>
      <rPr>
        <sz val="12"/>
        <color rgb="FFFFFFFF"/>
        <rFont val="微软雅黑"/>
        <charset val="134"/>
      </rPr>
      <t xml:space="preserve">。
</t>
    </r>
    <r>
      <rPr>
        <sz val="12"/>
        <color rgb="FF70EF42"/>
        <rFont val="微软雅黑"/>
        <charset val="134"/>
      </rPr>
      <t>极优</t>
    </r>
    <r>
      <rPr>
        <sz val="12"/>
        <color rgb="FFFFFFFF"/>
        <rFont val="微软雅黑"/>
        <charset val="134"/>
      </rPr>
      <t>一般表示有一定功能性的武器。</t>
    </r>
    <r>
      <rPr>
        <sz val="6"/>
        <color rgb="FFFFFFFF"/>
        <rFont val="微软雅黑"/>
        <charset val="134"/>
      </rPr>
      <t xml:space="preserve">
</t>
    </r>
    <r>
      <rPr>
        <sz val="12"/>
        <color rgb="FFFFFFFF"/>
        <rFont val="微软雅黑"/>
        <charset val="134"/>
      </rPr>
      <t xml:space="preserve">
Z~H级武器主要推荐攻击距离远，抬手速度快的武器。
W,A级武器主要考虑特殊能力和dps。</t>
    </r>
  </si>
  <si>
    <t xml:space="preserve">防具我这里参考价值并不高，
护甲的差异也不像武器那么大，
抗性标出来了，可以自行根据性选择，
通常情况下，开发数量越少的护甲越强。
我的具体分级标准可以点击本单元格查看批注
</t>
  </si>
  <si>
    <t>F-01-02</t>
  </si>
  <si>
    <r>
      <rPr>
        <u/>
        <sz val="14"/>
        <color rgb="FFFFFFFF"/>
        <rFont val="微软雅黑"/>
        <charset val="134"/>
      </rPr>
      <t>焦化少女</t>
    </r>
  </si>
  <si>
    <t>TETH</t>
  </si>
  <si>
    <t>中</t>
  </si>
  <si>
    <r>
      <rPr>
        <b/>
        <sz val="20"/>
        <color rgb="FFF4F72E"/>
        <rFont val="Microsoft YaHei"/>
        <charset val="134"/>
      </rPr>
      <t>良</t>
    </r>
    <r>
      <rPr>
        <b/>
        <sz val="12"/>
        <color rgb="FF21AEFF"/>
        <rFont val="Microsoft YaHei"/>
        <charset val="134"/>
      </rPr>
      <t xml:space="preserve">(T) </t>
    </r>
    <r>
      <rPr>
        <b/>
        <sz val="12"/>
        <color rgb="FF7F7F7F"/>
        <rFont val="Microsoft YaHei"/>
        <charset val="134"/>
      </rPr>
      <t>【远(15)】</t>
    </r>
  </si>
  <si>
    <r>
      <rPr>
        <b/>
        <sz val="20"/>
        <color rgb="FFF4F72E"/>
        <rFont val="微软雅黑"/>
        <charset val="134"/>
      </rPr>
      <t>良</t>
    </r>
    <r>
      <rPr>
        <b/>
        <sz val="12"/>
        <color rgb="FF21AEFF"/>
        <rFont val="微软雅黑"/>
        <charset val="134"/>
      </rPr>
      <t>(T)</t>
    </r>
  </si>
  <si>
    <t>可镇压</t>
  </si>
  <si>
    <t>要求工作高，出逃稍微有点麻烦</t>
  </si>
  <si>
    <r>
      <rPr>
        <sz val="14"/>
        <color rgb="FFFFFFFF"/>
        <rFont val="Microsoft YaHei"/>
        <charset val="134"/>
      </rPr>
      <t xml:space="preserve"> </t>
    </r>
    <r>
      <rPr>
        <b/>
        <sz val="14"/>
        <color rgb="FFC00000"/>
        <rFont val="Microsoft YaHei"/>
        <charset val="134"/>
      </rPr>
      <t>DPS：5.0</t>
    </r>
    <r>
      <rPr>
        <sz val="14"/>
        <color rgb="FFFFFFFF"/>
        <rFont val="Microsoft YaHei"/>
        <charset val="134"/>
      </rPr>
      <t xml:space="preserve">  打黄黎明很好用</t>
    </r>
  </si>
  <si>
    <r>
      <rPr>
        <b/>
        <sz val="14"/>
        <color rgb="FFCB2743"/>
        <rFont val="Microsoft YaHei"/>
        <charset val="134"/>
      </rPr>
      <t>0.6</t>
    </r>
    <r>
      <rPr>
        <sz val="14"/>
        <color rgb="FFEEECBF"/>
        <rFont val="Microsoft YaHei"/>
        <charset val="134"/>
      </rPr>
      <t xml:space="preserve"> 1.0 </t>
    </r>
    <r>
      <rPr>
        <sz val="14"/>
        <color rgb="FFA562AD"/>
        <rFont val="Microsoft YaHei"/>
        <charset val="134"/>
      </rPr>
      <t>1.2</t>
    </r>
    <r>
      <rPr>
        <sz val="14"/>
        <color rgb="FFFFFFFF"/>
        <rFont val="Microsoft YaHei"/>
        <charset val="134"/>
      </rPr>
      <t xml:space="preserve"> </t>
    </r>
    <r>
      <rPr>
        <sz val="14"/>
        <color rgb="FF3FCDBD"/>
        <rFont val="Microsoft YaHei"/>
        <charset val="134"/>
      </rPr>
      <t>2.0</t>
    </r>
    <r>
      <rPr>
        <sz val="14"/>
        <color rgb="FFFFFFFF"/>
        <rFont val="Microsoft YaHei"/>
        <charset val="134"/>
      </rPr>
      <t xml:space="preserve"> 单红抗甲，前期比较适用</t>
    </r>
  </si>
  <si>
    <t>容易镇压</t>
  </si>
  <si>
    <t>O-03-03</t>
  </si>
  <si>
    <r>
      <rPr>
        <u/>
        <sz val="14"/>
        <color rgb="FFFFFFFF"/>
        <rFont val="微软雅黑"/>
        <charset val="134"/>
      </rPr>
      <t>一罪与百善</t>
    </r>
  </si>
  <si>
    <t>ZAYIN</t>
  </si>
  <si>
    <t>论外</t>
  </si>
  <si>
    <r>
      <rPr>
        <b/>
        <sz val="20"/>
        <color rgb="FFF4F72E"/>
        <rFont val="Microsoft YaHei"/>
        <charset val="134"/>
      </rPr>
      <t>良</t>
    </r>
    <r>
      <rPr>
        <b/>
        <sz val="12"/>
        <color rgb="FF24FD06"/>
        <rFont val="Microsoft YaHei"/>
        <charset val="134"/>
      </rPr>
      <t xml:space="preserve">(Z) </t>
    </r>
    <r>
      <rPr>
        <b/>
        <sz val="12"/>
        <color rgb="FF7F7F7F"/>
        <rFont val="Microsoft YaHei"/>
        <charset val="134"/>
      </rPr>
      <t>【近(3)】</t>
    </r>
  </si>
  <si>
    <r>
      <rPr>
        <b/>
        <sz val="20"/>
        <color rgb="FFF4F72E"/>
        <rFont val="微软雅黑"/>
        <charset val="134"/>
      </rPr>
      <t>良</t>
    </r>
    <r>
      <rPr>
        <b/>
        <sz val="12"/>
        <color rgb="FF24FD06"/>
        <rFont val="微软雅黑"/>
        <charset val="134"/>
      </rPr>
      <t>(Z)</t>
    </r>
  </si>
  <si>
    <t>day1必选</t>
  </si>
  <si>
    <r>
      <rPr>
        <b/>
        <sz val="14"/>
        <color rgb="FFFFF9E3"/>
        <rFont val="Microsoft YaHei"/>
        <charset val="134"/>
      </rPr>
      <t>DPS：3.0</t>
    </r>
    <r>
      <rPr>
        <sz val="14"/>
        <color rgb="FFFFFFFF"/>
        <rFont val="Microsoft YaHei"/>
        <charset val="134"/>
      </rPr>
      <t xml:space="preserve">  z级尽早淘汰</t>
    </r>
  </si>
  <si>
    <r>
      <rPr>
        <sz val="14"/>
        <color rgb="FFCB2743"/>
        <rFont val="Microsoft YaHei"/>
        <charset val="134"/>
      </rPr>
      <t>0.9</t>
    </r>
    <r>
      <rPr>
        <sz val="14"/>
        <color rgb="FFEEECBF"/>
        <rFont val="Microsoft YaHei"/>
        <charset val="134"/>
      </rPr>
      <t xml:space="preserve"> 0.8 </t>
    </r>
    <r>
      <rPr>
        <sz val="14"/>
        <color rgb="FFA562AD"/>
        <rFont val="Microsoft YaHei"/>
        <charset val="134"/>
      </rPr>
      <t>0.9</t>
    </r>
    <r>
      <rPr>
        <sz val="14"/>
        <color rgb="FFFFFFFF"/>
        <rFont val="Microsoft YaHei"/>
        <charset val="134"/>
      </rPr>
      <t xml:space="preserve"> </t>
    </r>
    <r>
      <rPr>
        <sz val="14"/>
        <color rgb="FF3FCDBD"/>
        <rFont val="Microsoft YaHei"/>
        <charset val="134"/>
      </rPr>
      <t>2.0</t>
    </r>
    <r>
      <rPr>
        <sz val="14"/>
        <color rgb="FFFFFFFF"/>
        <rFont val="Microsoft YaHei"/>
        <charset val="134"/>
      </rPr>
      <t xml:space="preserve"> 前期过度用</t>
    </r>
  </si>
  <si>
    <t>O-01-04</t>
  </si>
  <si>
    <r>
      <rPr>
        <u/>
        <sz val="14"/>
        <color rgb="FFFFFFFF"/>
        <rFont val="微软雅黑"/>
        <charset val="134"/>
      </rPr>
      <t>憎恶女王</t>
    </r>
  </si>
  <si>
    <t>WAW</t>
  </si>
  <si>
    <t>低</t>
  </si>
  <si>
    <r>
      <rPr>
        <b/>
        <sz val="20"/>
        <color rgb="FF70EF42"/>
        <rFont val="Microsoft YaHei"/>
        <charset val="134"/>
      </rPr>
      <t>极优</t>
    </r>
    <r>
      <rPr>
        <b/>
        <sz val="12"/>
        <color rgb="FF8939FC"/>
        <rFont val="Microsoft YaHei"/>
        <charset val="134"/>
      </rPr>
      <t xml:space="preserve">(W) </t>
    </r>
    <r>
      <rPr>
        <b/>
        <sz val="12"/>
        <color rgb="FF7F7F7F"/>
        <rFont val="Microsoft YaHei"/>
        <charset val="134"/>
      </rPr>
      <t>【极远(80)】</t>
    </r>
  </si>
  <si>
    <r>
      <rPr>
        <b/>
        <sz val="20"/>
        <color rgb="FFF4F72E"/>
        <rFont val="微软雅黑"/>
        <charset val="134"/>
      </rPr>
      <t>良</t>
    </r>
    <r>
      <rPr>
        <b/>
        <sz val="12"/>
        <color rgb="FF8939FC"/>
        <rFont val="微软雅黑"/>
        <charset val="134"/>
      </rPr>
      <t>(W)</t>
    </r>
  </si>
  <si>
    <t>反文保协，机制难搞，容易出逃
且出逃到处瞬移难镇压</t>
  </si>
  <si>
    <r>
      <rPr>
        <b/>
        <sz val="14"/>
        <color rgb="FFC00000"/>
        <rFont val="Microsoft YaHei"/>
        <charset val="134"/>
      </rPr>
      <t>D</t>
    </r>
    <r>
      <rPr>
        <b/>
        <sz val="14"/>
        <color rgb="FFFFF9E3"/>
        <rFont val="Microsoft YaHei"/>
        <charset val="134"/>
      </rPr>
      <t>P</t>
    </r>
    <r>
      <rPr>
        <b/>
        <sz val="14"/>
        <color rgb="FFD58EFF"/>
        <rFont val="Microsoft YaHei"/>
        <charset val="134"/>
      </rPr>
      <t>S</t>
    </r>
    <r>
      <rPr>
        <b/>
        <sz val="14"/>
        <color rgb="FF00B0F0"/>
        <rFont val="Microsoft YaHei"/>
        <charset val="134"/>
      </rPr>
      <t>：</t>
    </r>
    <r>
      <rPr>
        <b/>
        <sz val="14"/>
        <color rgb="FF00B050"/>
        <rFont val="Microsoft YaHei"/>
        <charset val="134"/>
      </rPr>
      <t>7.83</t>
    </r>
    <r>
      <rPr>
        <sz val="14"/>
        <color rgb="FFFFFFFF"/>
        <rFont val="Microsoft YaHei"/>
        <charset val="134"/>
      </rPr>
      <t xml:space="preserve">  特殊机制
混伤，能奶，远程</t>
    </r>
  </si>
  <si>
    <r>
      <rPr>
        <sz val="14"/>
        <color rgb="FFCB2743"/>
        <rFont val="Microsoft YaHei"/>
        <charset val="134"/>
      </rPr>
      <t>0.7</t>
    </r>
    <r>
      <rPr>
        <sz val="14"/>
        <color rgb="FFEEECBF"/>
        <rFont val="Microsoft YaHei"/>
        <charset val="134"/>
      </rPr>
      <t xml:space="preserve"> 0.8 </t>
    </r>
    <r>
      <rPr>
        <b/>
        <sz val="14"/>
        <color rgb="FFA562AD"/>
        <rFont val="Microsoft YaHei"/>
        <charset val="134"/>
      </rPr>
      <t>0.4</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 xml:space="preserve">
紫抗甲，三色都不弱注意但蓝抗低于W标准</t>
    </r>
  </si>
  <si>
    <t>不容易镇压</t>
  </si>
  <si>
    <t>T-04-06</t>
  </si>
  <si>
    <r>
      <rPr>
        <u/>
        <sz val="14"/>
        <color rgb="FFFFFFFF"/>
        <rFont val="微软雅黑"/>
        <charset val="134"/>
      </rPr>
      <t>快乐泰迪</t>
    </r>
  </si>
  <si>
    <t>HE</t>
  </si>
  <si>
    <r>
      <rPr>
        <b/>
        <sz val="20"/>
        <color rgb="FFF42C3E"/>
        <rFont val="Microsoft YaHei"/>
        <charset val="134"/>
      </rPr>
      <t>差</t>
    </r>
    <r>
      <rPr>
        <b/>
        <sz val="12"/>
        <color rgb="FFFFFF0B"/>
        <rFont val="Microsoft YaHei"/>
        <charset val="134"/>
      </rPr>
      <t xml:space="preserve">(H) </t>
    </r>
    <r>
      <rPr>
        <b/>
        <sz val="12"/>
        <color rgb="FF7F7F7F"/>
        <rFont val="Microsoft YaHei"/>
        <charset val="134"/>
      </rPr>
      <t>【极近(2)】</t>
    </r>
  </si>
  <si>
    <r>
      <rPr>
        <b/>
        <sz val="20"/>
        <color rgb="FFF42C3E"/>
        <rFont val="微软雅黑"/>
        <charset val="134"/>
      </rPr>
      <t>差</t>
    </r>
    <r>
      <rPr>
        <b/>
        <sz val="12"/>
        <color rgb="FFFFFF0B"/>
        <rFont val="微软雅黑"/>
        <charset val="134"/>
      </rPr>
      <t>(H)</t>
    </r>
  </si>
  <si>
    <t>机制死，要轮流管，容易鱼脑</t>
  </si>
  <si>
    <r>
      <rPr>
        <b/>
        <sz val="14"/>
        <color rgb="FFC00000"/>
        <rFont val="Microsoft YaHei"/>
        <charset val="134"/>
      </rPr>
      <t>DPS：7.0</t>
    </r>
    <r>
      <rPr>
        <sz val="14"/>
        <color rgb="FFFFFFFF"/>
        <rFont val="Microsoft YaHei"/>
        <charset val="134"/>
      </rPr>
      <t xml:space="preserve">  极近前期不推荐</t>
    </r>
  </si>
  <si>
    <r>
      <rPr>
        <sz val="14"/>
        <color rgb="FFCB2743"/>
        <rFont val="Microsoft YaHei"/>
        <charset val="134"/>
      </rPr>
      <t>0.8</t>
    </r>
    <r>
      <rPr>
        <sz val="14"/>
        <color rgb="FFEEECBF"/>
        <rFont val="Microsoft YaHei"/>
        <charset val="134"/>
      </rPr>
      <t xml:space="preserve"> 1.0 </t>
    </r>
    <r>
      <rPr>
        <sz val="14"/>
        <color rgb="FFA562AD"/>
        <rFont val="Microsoft YaHei"/>
        <charset val="134"/>
      </rPr>
      <t>1.0</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T级面板的H甲</t>
    </r>
  </si>
  <si>
    <t>O-04-08</t>
  </si>
  <si>
    <r>
      <rPr>
        <u/>
        <sz val="14"/>
        <color rgb="FFFFFFFF"/>
        <rFont val="微软雅黑"/>
        <charset val="134"/>
      </rPr>
      <t>红舞鞋</t>
    </r>
  </si>
  <si>
    <r>
      <rPr>
        <b/>
        <sz val="20"/>
        <color rgb="FFF4F72E"/>
        <rFont val="微软雅黑"/>
        <charset val="134"/>
      </rPr>
      <t>良</t>
    </r>
    <r>
      <rPr>
        <b/>
        <sz val="12"/>
        <color rgb="FFFFFF0B"/>
        <rFont val="微软雅黑"/>
        <charset val="134"/>
      </rPr>
      <t>(H)</t>
    </r>
  </si>
  <si>
    <t>偷人型里最菜的，前期可能麻烦，员工自律&gt;3后没威胁</t>
  </si>
  <si>
    <r>
      <rPr>
        <b/>
        <sz val="14"/>
        <color rgb="FFC00000"/>
        <rFont val="Microsoft YaHei"/>
        <charset val="134"/>
      </rPr>
      <t>DPS：6.0</t>
    </r>
    <r>
      <rPr>
        <sz val="14"/>
        <color rgb="FFFFFFFF"/>
        <rFont val="Microsoft YaHei"/>
        <charset val="134"/>
      </rPr>
      <t xml:space="preserve">  极近前期不推荐，自律&lt;3有增益</t>
    </r>
  </si>
  <si>
    <r>
      <rPr>
        <b/>
        <sz val="14"/>
        <color rgb="FFCB2743"/>
        <rFont val="Microsoft YaHei"/>
        <charset val="134"/>
      </rPr>
      <t>0.5</t>
    </r>
    <r>
      <rPr>
        <sz val="14"/>
        <color rgb="FFEEECBF"/>
        <rFont val="Microsoft YaHei"/>
        <charset val="134"/>
      </rPr>
      <t xml:space="preserve"> 1.2 </t>
    </r>
    <r>
      <rPr>
        <sz val="14"/>
        <color rgb="FFA562AD"/>
        <rFont val="Microsoft YaHei"/>
        <charset val="134"/>
      </rPr>
      <t>0.8</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红抗甲，弱白</t>
    </r>
  </si>
  <si>
    <t>T-09-09</t>
  </si>
  <si>
    <r>
      <rPr>
        <u/>
        <sz val="14"/>
        <color rgb="FFFFFFFF"/>
        <rFont val="微软雅黑"/>
        <charset val="134"/>
      </rPr>
      <t>特蕾西娅</t>
    </r>
  </si>
  <si>
    <t>-</t>
  </si>
  <si>
    <t>没什么用也没什么坏处……</t>
  </si>
  <si>
    <t>O-01-12</t>
  </si>
  <si>
    <r>
      <rPr>
        <u/>
        <sz val="14"/>
        <color rgb="FFFFFFFF"/>
        <rFont val="微软雅黑"/>
        <charset val="134"/>
      </rPr>
      <t>老妇人</t>
    </r>
  </si>
  <si>
    <r>
      <rPr>
        <b/>
        <sz val="20"/>
        <color rgb="FF70EF42"/>
        <rFont val="Microsoft YaHei"/>
        <charset val="134"/>
      </rPr>
      <t>优</t>
    </r>
    <r>
      <rPr>
        <b/>
        <sz val="12"/>
        <color rgb="FF21AEFF"/>
        <rFont val="Microsoft YaHei"/>
        <charset val="134"/>
      </rPr>
      <t xml:space="preserve">(T) </t>
    </r>
    <r>
      <rPr>
        <b/>
        <sz val="12"/>
        <color rgb="FF7F7F7F"/>
        <rFont val="Microsoft YaHei"/>
        <charset val="134"/>
      </rPr>
      <t>【远(10)】</t>
    </r>
  </si>
  <si>
    <r>
      <rPr>
        <b/>
        <sz val="20"/>
        <color rgb="FFF42C3E"/>
        <rFont val="微软雅黑"/>
        <charset val="134"/>
      </rPr>
      <t>差</t>
    </r>
    <r>
      <rPr>
        <b/>
        <sz val="12"/>
        <color rgb="FF21AEFF"/>
        <rFont val="微软雅黑"/>
        <charset val="134"/>
      </rPr>
      <t>(T)</t>
    </r>
  </si>
  <si>
    <t>孤独伤害后期不算高，前期多管就没事</t>
  </si>
  <si>
    <r>
      <rPr>
        <b/>
        <sz val="14"/>
        <color rgb="FFFFF9E3"/>
        <rFont val="Microsoft YaHei"/>
        <charset val="134"/>
      </rPr>
      <t>DPS：3.75</t>
    </r>
    <r>
      <rPr>
        <sz val="14"/>
        <color rgb="FFFFFFFF"/>
        <rFont val="Microsoft YaHei"/>
        <charset val="134"/>
      </rPr>
      <t xml:space="preserve">  白手枪，打怪和恢复员工精神都很好用</t>
    </r>
  </si>
  <si>
    <r>
      <rPr>
        <sz val="14"/>
        <color rgb="FFCB2743"/>
        <rFont val="Microsoft YaHei"/>
        <charset val="134"/>
      </rPr>
      <t>1.5</t>
    </r>
    <r>
      <rPr>
        <sz val="14"/>
        <color rgb="FFEEECBF"/>
        <rFont val="Microsoft YaHei"/>
        <charset val="134"/>
      </rPr>
      <t xml:space="preserve"> 0.8 </t>
    </r>
    <r>
      <rPr>
        <sz val="14"/>
        <color rgb="FFA562AD"/>
        <rFont val="Microsoft YaHei"/>
        <charset val="134"/>
      </rPr>
      <t>0.8</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红抗太低，前期不好用</t>
    </r>
  </si>
  <si>
    <t>O-01-15</t>
  </si>
  <si>
    <r>
      <rPr>
        <u/>
        <sz val="14"/>
        <color rgb="FFFFFFFF"/>
        <rFont val="微软雅黑"/>
        <charset val="134"/>
      </rPr>
      <t>无名怪婴</t>
    </r>
  </si>
  <si>
    <r>
      <rPr>
        <b/>
        <sz val="20"/>
        <color rgb="FF70EF42"/>
        <rFont val="Microsoft YaHei"/>
        <charset val="134"/>
      </rPr>
      <t>优</t>
    </r>
    <r>
      <rPr>
        <b/>
        <sz val="12"/>
        <color rgb="FFFFFF0B"/>
        <rFont val="Microsoft YaHei"/>
        <charset val="134"/>
      </rPr>
      <t xml:space="preserve">(H) </t>
    </r>
    <r>
      <rPr>
        <b/>
        <sz val="12"/>
        <color rgb="FF7F7F7F"/>
        <rFont val="Microsoft YaHei"/>
        <charset val="134"/>
      </rPr>
      <t>【远(10)】</t>
    </r>
  </si>
  <si>
    <t>机制死，HE四大天王之首</t>
  </si>
  <si>
    <r>
      <rPr>
        <b/>
        <sz val="14"/>
        <color rgb="FFFFF9E3"/>
        <rFont val="Microsoft YaHei"/>
        <charset val="134"/>
      </rPr>
      <t>DPS：6.0</t>
    </r>
    <r>
      <rPr>
        <sz val="14"/>
        <color rgb="FFFFFFFF"/>
        <rFont val="Microsoft YaHei"/>
        <charset val="134"/>
      </rPr>
      <t xml:space="preserve">  抬手快 距离远</t>
    </r>
  </si>
  <si>
    <r>
      <rPr>
        <sz val="14"/>
        <color rgb="FFCB2743"/>
        <rFont val="Microsoft YaHei"/>
        <charset val="134"/>
      </rPr>
      <t>1.2</t>
    </r>
    <r>
      <rPr>
        <sz val="14"/>
        <color rgb="FFEEECBF"/>
        <rFont val="Microsoft YaHei"/>
        <charset val="134"/>
      </rPr>
      <t xml:space="preserve"> </t>
    </r>
    <r>
      <rPr>
        <b/>
        <sz val="14"/>
        <color rgb="FFEEECBF"/>
        <rFont val="Microsoft YaHei"/>
        <charset val="134"/>
      </rPr>
      <t>0.5</t>
    </r>
    <r>
      <rPr>
        <sz val="14"/>
        <color rgb="FFEEECBF"/>
        <rFont val="Microsoft YaHei"/>
        <charset val="134"/>
      </rPr>
      <t xml:space="preserve"> </t>
    </r>
    <r>
      <rPr>
        <sz val="14"/>
        <color rgb="FFA562AD"/>
        <rFont val="Microsoft YaHei"/>
        <charset val="134"/>
      </rPr>
      <t>0.8</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白抗甲，弱红</t>
    </r>
  </si>
  <si>
    <t>F-01-18</t>
  </si>
  <si>
    <r>
      <rPr>
        <u/>
        <sz val="14"/>
        <color rgb="FFFFFFFF"/>
        <rFont val="微软雅黑"/>
        <charset val="134"/>
      </rPr>
      <t>面壁女</t>
    </r>
  </si>
  <si>
    <r>
      <rPr>
        <b/>
        <sz val="20"/>
        <color rgb="FF70EF42"/>
        <rFont val="Microsoft YaHei"/>
        <charset val="134"/>
      </rPr>
      <t>优</t>
    </r>
    <r>
      <rPr>
        <b/>
        <sz val="12"/>
        <color rgb="FFFFFF0B"/>
        <rFont val="Microsoft YaHei"/>
        <charset val="134"/>
      </rPr>
      <t xml:space="preserve">(H) </t>
    </r>
    <r>
      <rPr>
        <b/>
        <sz val="12"/>
        <color rgb="FF7F7F7F"/>
        <rFont val="Microsoft YaHei"/>
        <charset val="134"/>
      </rPr>
      <t>【极远(20)】</t>
    </r>
  </si>
  <si>
    <t>后期这点白伤算不了什么</t>
  </si>
  <si>
    <r>
      <rPr>
        <b/>
        <sz val="14"/>
        <color rgb="FFFFF9E3"/>
        <rFont val="Microsoft YaHei"/>
        <charset val="134"/>
      </rPr>
      <t>DPS：5.25</t>
    </r>
    <r>
      <rPr>
        <sz val="14"/>
        <color rgb="FFFFFFFF"/>
        <rFont val="Microsoft YaHei"/>
        <charset val="134"/>
      </rPr>
      <t xml:space="preserve">  远，穿透</t>
    </r>
  </si>
  <si>
    <r>
      <rPr>
        <sz val="14"/>
        <color rgb="FFCB2743"/>
        <rFont val="Microsoft YaHei"/>
        <charset val="134"/>
      </rPr>
      <t>1.2</t>
    </r>
    <r>
      <rPr>
        <sz val="14"/>
        <color rgb="FFEEECBF"/>
        <rFont val="Microsoft YaHei"/>
        <charset val="134"/>
      </rPr>
      <t xml:space="preserve"> </t>
    </r>
    <r>
      <rPr>
        <b/>
        <sz val="14"/>
        <color rgb="FFEEECBF"/>
        <rFont val="Microsoft YaHei"/>
        <charset val="134"/>
      </rPr>
      <t xml:space="preserve">0.6 </t>
    </r>
    <r>
      <rPr>
        <sz val="14"/>
        <color rgb="FFA562AD"/>
        <rFont val="Microsoft YaHei"/>
        <charset val="134"/>
      </rPr>
      <t>1.0</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单白抗甲</t>
    </r>
  </si>
  <si>
    <t>O-06-20</t>
  </si>
  <si>
    <r>
      <rPr>
        <u/>
        <sz val="14"/>
        <color rgb="FFFFFFFF"/>
        <rFont val="微软雅黑"/>
        <charset val="134"/>
      </rPr>
      <t>“一无所有”</t>
    </r>
  </si>
  <si>
    <t>ALEPH</t>
  </si>
  <si>
    <r>
      <rPr>
        <b/>
        <sz val="20"/>
        <color rgb="FF70EF42"/>
        <rFont val="Microsoft YaHei"/>
        <charset val="134"/>
      </rPr>
      <t>优</t>
    </r>
    <r>
      <rPr>
        <b/>
        <sz val="12"/>
        <color rgb="FFEB0E0B"/>
        <rFont val="Microsoft YaHei"/>
        <charset val="134"/>
      </rPr>
      <t xml:space="preserve">(A) </t>
    </r>
    <r>
      <rPr>
        <b/>
        <sz val="12"/>
        <color rgb="FF7F7F7F"/>
        <rFont val="Microsoft YaHei"/>
        <charset val="134"/>
      </rPr>
      <t>【一般(4)】</t>
    </r>
  </si>
  <si>
    <r>
      <rPr>
        <b/>
        <sz val="20"/>
        <color rgb="FFF4F72E"/>
        <rFont val="微软雅黑"/>
        <charset val="134"/>
      </rPr>
      <t>良</t>
    </r>
    <r>
      <rPr>
        <b/>
        <sz val="12"/>
        <color rgb="FFEB0E0B"/>
        <rFont val="微软雅黑"/>
        <charset val="134"/>
      </rPr>
      <t>(A)</t>
    </r>
  </si>
  <si>
    <t>属性够了一无随便摸，不容易出逃</t>
  </si>
  <si>
    <r>
      <rPr>
        <b/>
        <sz val="14"/>
        <color rgb="FFC00000"/>
        <rFont val="Microsoft YaHei"/>
        <charset val="134"/>
      </rPr>
      <t>DPS：13.11</t>
    </r>
    <r>
      <rPr>
        <sz val="14"/>
        <color rgb="FFFFFFFF"/>
        <rFont val="Microsoft YaHei"/>
        <charset val="134"/>
      </rPr>
      <t xml:space="preserve">  伤害高，还吸血</t>
    </r>
  </si>
  <si>
    <r>
      <rPr>
        <b/>
        <sz val="14"/>
        <color rgb="FFCB2743"/>
        <rFont val="Microsoft YaHei"/>
        <charset val="134"/>
      </rPr>
      <t>0.2</t>
    </r>
    <r>
      <rPr>
        <sz val="14"/>
        <color rgb="FFEEECBF"/>
        <rFont val="Microsoft YaHei"/>
        <charset val="134"/>
      </rPr>
      <t xml:space="preserve"> 0.5 </t>
    </r>
    <r>
      <rPr>
        <sz val="14"/>
        <color rgb="FFA562AD"/>
        <rFont val="Microsoft YaHei"/>
        <charset val="134"/>
      </rPr>
      <t>0.5</t>
    </r>
    <r>
      <rPr>
        <sz val="14"/>
        <color rgb="FFFFFFFF"/>
        <rFont val="Microsoft YaHei"/>
        <charset val="134"/>
      </rPr>
      <t xml:space="preserve"> </t>
    </r>
    <r>
      <rPr>
        <sz val="14"/>
        <color rgb="FF3FCDBD"/>
        <rFont val="Microsoft YaHei"/>
        <charset val="134"/>
      </rPr>
      <t xml:space="preserve">1.0 </t>
    </r>
    <r>
      <rPr>
        <sz val="14"/>
        <color rgb="FFFFFFFF"/>
        <rFont val="Microsoft YaHei"/>
        <charset val="134"/>
      </rPr>
      <t>红抗特化，适合抗伤</t>
    </r>
  </si>
  <si>
    <t>T-06-27</t>
  </si>
  <si>
    <r>
      <rPr>
        <u/>
        <sz val="14"/>
        <color rgb="FFFFFFFF"/>
        <rFont val="微软雅黑"/>
        <charset val="134"/>
      </rPr>
      <t>1.76兆赫</t>
    </r>
  </si>
  <si>
    <t>计数器基本不会归零，不归零就好处理</t>
  </si>
  <si>
    <r>
      <rPr>
        <sz val="14"/>
        <color rgb="FFCB2743"/>
        <rFont val="Microsoft YaHei"/>
        <charset val="134"/>
      </rPr>
      <t>1.2</t>
    </r>
    <r>
      <rPr>
        <sz val="14"/>
        <color rgb="FFEEECBF"/>
        <rFont val="Microsoft YaHei"/>
        <charset val="134"/>
      </rPr>
      <t xml:space="preserve"> 0.7 </t>
    </r>
    <r>
      <rPr>
        <sz val="14"/>
        <color rgb="FFA562AD"/>
        <rFont val="Microsoft YaHei"/>
        <charset val="134"/>
      </rPr>
      <t>0.6</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双抗甲，但弱红，前期难用</t>
    </r>
  </si>
  <si>
    <t>O-05-30</t>
  </si>
  <si>
    <r>
      <rPr>
        <u/>
        <sz val="14"/>
        <color rgb="FFFFFFFF"/>
        <rFont val="微软雅黑"/>
        <charset val="134"/>
      </rPr>
      <t>歌唱机</t>
    </r>
  </si>
  <si>
    <r>
      <rPr>
        <b/>
        <sz val="20"/>
        <color rgb="FFF42C3E"/>
        <rFont val="Microsoft YaHei"/>
        <charset val="134"/>
      </rPr>
      <t>差</t>
    </r>
    <r>
      <rPr>
        <b/>
        <sz val="12"/>
        <color rgb="FFFFFF0B"/>
        <rFont val="Microsoft YaHei"/>
        <charset val="134"/>
      </rPr>
      <t>(H)</t>
    </r>
    <r>
      <rPr>
        <b/>
        <sz val="12"/>
        <color rgb="FF7F7F7F"/>
        <rFont val="Microsoft YaHei"/>
        <charset val="134"/>
      </rPr>
      <t>【远(15)】</t>
    </r>
  </si>
  <si>
    <t>勇气&gt;3即死，机制死，需要保姆，还会偷人</t>
  </si>
  <si>
    <r>
      <rPr>
        <b/>
        <sz val="14"/>
        <color rgb="FFFFF9E3"/>
        <rFont val="Microsoft YaHei"/>
        <charset val="134"/>
      </rPr>
      <t>DPS：8.0(10.4)</t>
    </r>
    <r>
      <rPr>
        <sz val="14"/>
        <color rgb="FFFFFFFF"/>
        <rFont val="Microsoft YaHei"/>
        <charset val="134"/>
      </rPr>
      <t xml:space="preserve">  打着打着掉血还是忍不了</t>
    </r>
  </si>
  <si>
    <t>T-01-31</t>
  </si>
  <si>
    <r>
      <rPr>
        <u/>
        <sz val="14"/>
        <color rgb="FFFFFFFF"/>
        <rFont val="微软雅黑"/>
        <charset val="134"/>
      </rPr>
      <t>沉默乐团</t>
    </r>
  </si>
  <si>
    <r>
      <rPr>
        <b/>
        <sz val="20"/>
        <color rgb="FFF4F72E"/>
        <rFont val="Microsoft YaHei"/>
        <charset val="134"/>
      </rPr>
      <t>良</t>
    </r>
    <r>
      <rPr>
        <b/>
        <sz val="12"/>
        <color rgb="FFEB0E0B"/>
        <rFont val="Microsoft YaHei"/>
        <charset val="134"/>
      </rPr>
      <t xml:space="preserve">(A) </t>
    </r>
    <r>
      <rPr>
        <b/>
        <sz val="12"/>
        <color rgb="FF7F7F7F"/>
        <rFont val="Microsoft YaHei"/>
        <charset val="134"/>
      </rPr>
      <t>【一般(4)】</t>
    </r>
  </si>
  <si>
    <t>要求工作良，非常容易出逃</t>
  </si>
  <si>
    <r>
      <rPr>
        <b/>
        <sz val="14"/>
        <color rgb="FFFFF9E3"/>
        <rFont val="Microsoft YaHei"/>
        <charset val="134"/>
      </rPr>
      <t>DPS：18.5</t>
    </r>
    <r>
      <rPr>
        <sz val="14"/>
        <color rgb="FFFFFFFF"/>
        <rFont val="Microsoft YaHei"/>
        <charset val="134"/>
      </rPr>
      <t xml:space="preserve">  dps很高，然后没了</t>
    </r>
  </si>
  <si>
    <r>
      <rPr>
        <sz val="14"/>
        <color rgb="FFCB2743"/>
        <rFont val="Microsoft YaHei"/>
        <charset val="134"/>
      </rPr>
      <t>0.5</t>
    </r>
    <r>
      <rPr>
        <sz val="14"/>
        <color rgb="FFEEECBF"/>
        <rFont val="Microsoft YaHei"/>
        <charset val="134"/>
      </rPr>
      <t xml:space="preserve"> </t>
    </r>
    <r>
      <rPr>
        <b/>
        <sz val="14"/>
        <color rgb="FFEEECBF"/>
        <rFont val="Microsoft YaHei"/>
        <charset val="134"/>
      </rPr>
      <t>0.2</t>
    </r>
    <r>
      <rPr>
        <sz val="14"/>
        <color rgb="FFEEECBF"/>
        <rFont val="Microsoft YaHei"/>
        <charset val="134"/>
      </rPr>
      <t xml:space="preserve"> </t>
    </r>
    <r>
      <rPr>
        <sz val="14"/>
        <color rgb="FFA562AD"/>
        <rFont val="Microsoft YaHei"/>
        <charset val="134"/>
      </rPr>
      <t>0.5</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白抗特化甲</t>
    </r>
  </si>
  <si>
    <t>F-05-32</t>
  </si>
  <si>
    <r>
      <rPr>
        <u/>
        <sz val="14"/>
        <color rgb="FFFFFFFF"/>
        <rFont val="微软雅黑"/>
        <charset val="134"/>
      </rPr>
      <t>热心的樵夫</t>
    </r>
  </si>
  <si>
    <r>
      <rPr>
        <b/>
        <sz val="20"/>
        <color rgb="FFF4F72E"/>
        <rFont val="Microsoft YaHei"/>
        <charset val="134"/>
      </rPr>
      <t>良</t>
    </r>
    <r>
      <rPr>
        <b/>
        <sz val="12"/>
        <color rgb="FFFFFF0B"/>
        <rFont val="Microsoft YaHei"/>
        <charset val="134"/>
      </rPr>
      <t xml:space="preserve">(H) </t>
    </r>
    <r>
      <rPr>
        <b/>
        <sz val="12"/>
        <color rgb="FF7F7F7F"/>
        <rFont val="Microsoft YaHei"/>
        <charset val="134"/>
      </rPr>
      <t>【一般(5)】</t>
    </r>
  </si>
  <si>
    <t>机制死，自律&gt;2减计数器，但可以放置</t>
  </si>
  <si>
    <r>
      <rPr>
        <b/>
        <sz val="14"/>
        <color rgb="FFC00000"/>
        <rFont val="Microsoft YaHei"/>
        <charset val="134"/>
      </rPr>
      <t>DPS：6.0</t>
    </r>
    <r>
      <rPr>
        <sz val="14"/>
        <color rgb="FFFFFFFF"/>
        <rFont val="Microsoft YaHei"/>
        <charset val="134"/>
      </rPr>
      <t xml:space="preserve">  很一般，有更好的选更好的</t>
    </r>
  </si>
  <si>
    <r>
      <rPr>
        <sz val="14"/>
        <color rgb="FFCB2743"/>
        <rFont val="Microsoft YaHei"/>
        <charset val="134"/>
      </rPr>
      <t>0.8</t>
    </r>
    <r>
      <rPr>
        <sz val="14"/>
        <color rgb="FFEEECBF"/>
        <rFont val="Microsoft YaHei"/>
        <charset val="134"/>
      </rPr>
      <t xml:space="preserve"> 1.2 </t>
    </r>
    <r>
      <rPr>
        <sz val="14"/>
        <color rgb="FFA562AD"/>
        <rFont val="Microsoft YaHei"/>
        <charset val="134"/>
      </rPr>
      <t>0.8</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双抗甲弱白</t>
    </r>
  </si>
  <si>
    <t>容易镇压，出来需要献祭</t>
  </si>
  <si>
    <t>F-01-37</t>
  </si>
  <si>
    <r>
      <rPr>
        <u/>
        <sz val="14"/>
        <color rgb="FFFFFFFF"/>
        <rFont val="微软雅黑"/>
        <charset val="134"/>
      </rPr>
      <t>冰雪女皇</t>
    </r>
  </si>
  <si>
    <t>高</t>
  </si>
  <si>
    <r>
      <rPr>
        <b/>
        <sz val="20"/>
        <color rgb="FF70EF42"/>
        <rFont val="Microsoft YaHei"/>
        <charset val="134"/>
      </rPr>
      <t>极优</t>
    </r>
    <r>
      <rPr>
        <b/>
        <sz val="12"/>
        <color rgb="FFFFFF0B"/>
        <rFont val="Microsoft YaHei"/>
        <charset val="134"/>
      </rPr>
      <t xml:space="preserve">(H) </t>
    </r>
    <r>
      <rPr>
        <b/>
        <sz val="12"/>
        <color rgb="FF7F7F7F"/>
        <rFont val="Microsoft YaHei"/>
        <charset val="134"/>
      </rPr>
      <t>【一般(4)】</t>
    </r>
  </si>
  <si>
    <t>好管，稳定优秀饰品</t>
  </si>
  <si>
    <r>
      <rPr>
        <b/>
        <sz val="14"/>
        <color rgb="FFFFF9E3"/>
        <rFont val="Microsoft YaHei"/>
        <charset val="134"/>
      </rPr>
      <t>DPS：6.0</t>
    </r>
    <r>
      <rPr>
        <sz val="14"/>
        <color rgb="FFFFFFFF"/>
        <rFont val="Microsoft YaHei"/>
        <charset val="134"/>
      </rPr>
      <t xml:space="preserve">  能减速，功能性强</t>
    </r>
  </si>
  <si>
    <r>
      <rPr>
        <sz val="14"/>
        <color rgb="FFCB2743"/>
        <rFont val="Microsoft YaHei"/>
        <charset val="134"/>
      </rPr>
      <t>1.3</t>
    </r>
    <r>
      <rPr>
        <sz val="14"/>
        <color rgb="FFEEECBF"/>
        <rFont val="Microsoft YaHei"/>
        <charset val="134"/>
      </rPr>
      <t xml:space="preserve"> </t>
    </r>
    <r>
      <rPr>
        <b/>
        <sz val="14"/>
        <color rgb="FFEEECBF"/>
        <rFont val="Microsoft YaHei"/>
        <charset val="134"/>
      </rPr>
      <t>0.6</t>
    </r>
    <r>
      <rPr>
        <sz val="14"/>
        <color rgb="FFEEECBF"/>
        <rFont val="Microsoft YaHei"/>
        <charset val="134"/>
      </rPr>
      <t xml:space="preserve"> </t>
    </r>
    <r>
      <rPr>
        <sz val="14"/>
        <color rgb="FFA562AD"/>
        <rFont val="Microsoft YaHei"/>
        <charset val="134"/>
      </rPr>
      <t>0.8</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白抗甲，弱红</t>
    </r>
  </si>
  <si>
    <t>O-02-40</t>
  </si>
  <si>
    <r>
      <rPr>
        <u/>
        <sz val="14"/>
        <color rgb="FFFFFFFF"/>
        <rFont val="微软雅黑"/>
        <charset val="134"/>
      </rPr>
      <t>大鸟</t>
    </r>
  </si>
  <si>
    <r>
      <rPr>
        <b/>
        <sz val="20"/>
        <color rgb="FF70EF42"/>
        <rFont val="Microsoft YaHei"/>
        <charset val="134"/>
      </rPr>
      <t>极优</t>
    </r>
    <r>
      <rPr>
        <b/>
        <sz val="12"/>
        <color rgb="FF8939FC"/>
        <rFont val="Microsoft YaHei"/>
        <charset val="134"/>
      </rPr>
      <t xml:space="preserve">(W) </t>
    </r>
    <r>
      <rPr>
        <b/>
        <sz val="12"/>
        <color rgb="FF7F7F7F"/>
        <rFont val="Microsoft YaHei"/>
        <charset val="134"/>
      </rPr>
      <t>【一般(5)】</t>
    </r>
  </si>
  <si>
    <r>
      <rPr>
        <b/>
        <sz val="20"/>
        <color rgb="FF70EF42"/>
        <rFont val="微软雅黑"/>
        <charset val="134"/>
      </rPr>
      <t>优</t>
    </r>
    <r>
      <rPr>
        <b/>
        <sz val="12"/>
        <color rgb="FF8939FC"/>
        <rFont val="微软雅黑"/>
        <charset val="134"/>
      </rPr>
      <t>(W)</t>
    </r>
  </si>
  <si>
    <t>文保协，出逃难打</t>
  </si>
  <si>
    <r>
      <rPr>
        <b/>
        <sz val="14"/>
        <color rgb="FFD58EFF"/>
        <rFont val="Microsoft YaHei"/>
        <charset val="134"/>
      </rPr>
      <t>DPS：8.33</t>
    </r>
    <r>
      <rPr>
        <sz val="14"/>
        <color rgb="FFFFFFFF"/>
        <rFont val="Microsoft YaHei"/>
        <charset val="134"/>
      </rPr>
      <t xml:space="preserve">  紫易伤，dps也可以</t>
    </r>
  </si>
  <si>
    <r>
      <rPr>
        <sz val="14"/>
        <color rgb="FFCB2743"/>
        <rFont val="Microsoft YaHei"/>
        <charset val="134"/>
      </rPr>
      <t>0.8</t>
    </r>
    <r>
      <rPr>
        <sz val="14"/>
        <color rgb="FFEEECBF"/>
        <rFont val="Microsoft YaHei"/>
        <charset val="134"/>
      </rPr>
      <t xml:space="preserve"> 0.7 </t>
    </r>
    <r>
      <rPr>
        <b/>
        <sz val="14"/>
        <color rgb="FFA562AD"/>
        <rFont val="Microsoft YaHei"/>
        <charset val="134"/>
      </rPr>
      <t>0.4</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紫抗甲，其余三个也标准</t>
    </r>
  </si>
  <si>
    <t>不容易出来，容易镇压</t>
  </si>
  <si>
    <t>T-05-41</t>
  </si>
  <si>
    <r>
      <rPr>
        <u/>
        <sz val="14"/>
        <color rgb="FFFFFFFF"/>
        <rFont val="微软雅黑"/>
        <charset val="134"/>
      </rPr>
      <t>小帮手</t>
    </r>
  </si>
  <si>
    <r>
      <rPr>
        <b/>
        <sz val="20"/>
        <color rgb="FFF4F72E"/>
        <rFont val="Microsoft YaHei"/>
        <charset val="134"/>
      </rPr>
      <t>良</t>
    </r>
    <r>
      <rPr>
        <b/>
        <sz val="12"/>
        <color rgb="FFFFFF0B"/>
        <rFont val="Microsoft YaHei"/>
        <charset val="134"/>
      </rPr>
      <t xml:space="preserve">(H) </t>
    </r>
    <r>
      <rPr>
        <b/>
        <sz val="12"/>
        <color rgb="FF7F7F7F"/>
        <rFont val="Microsoft YaHei"/>
        <charset val="134"/>
      </rPr>
      <t>【一般(4)】</t>
    </r>
  </si>
  <si>
    <t>要求工作优</t>
  </si>
  <si>
    <r>
      <rPr>
        <b/>
        <sz val="14"/>
        <color rgb="FFC00000"/>
        <rFont val="Microsoft YaHei"/>
        <charset val="134"/>
      </rPr>
      <t>DPS：7.19</t>
    </r>
    <r>
      <rPr>
        <sz val="14"/>
        <color rgb="FFFFFFFF"/>
        <rFont val="Microsoft YaHei"/>
        <charset val="134"/>
      </rPr>
      <t xml:space="preserve">  dps还不错的武器</t>
    </r>
  </si>
  <si>
    <r>
      <rPr>
        <b/>
        <sz val="14"/>
        <color rgb="FFCB2743"/>
        <rFont val="Microsoft YaHei"/>
        <charset val="134"/>
      </rPr>
      <t>0.6</t>
    </r>
    <r>
      <rPr>
        <sz val="14"/>
        <color rgb="FFEEECBF"/>
        <rFont val="Microsoft YaHei"/>
        <charset val="134"/>
      </rPr>
      <t xml:space="preserve"> 1.3 </t>
    </r>
    <r>
      <rPr>
        <sz val="14"/>
        <color rgb="FFA562AD"/>
        <rFont val="Microsoft YaHei"/>
        <charset val="134"/>
      </rPr>
      <t>0.9</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红抗甲，弱白</t>
    </r>
  </si>
  <si>
    <t>F-04-42</t>
  </si>
  <si>
    <r>
      <rPr>
        <u/>
        <sz val="14"/>
        <color rgb="FFFFFFFF"/>
        <rFont val="微软雅黑"/>
        <charset val="134"/>
      </rPr>
      <t>白雪公主的苹果</t>
    </r>
  </si>
  <si>
    <r>
      <rPr>
        <b/>
        <sz val="14"/>
        <color rgb="FFFFFFFF"/>
        <rFont val="Microsoft YaHei"/>
        <charset val="134"/>
      </rPr>
      <t>无饰品：</t>
    </r>
    <r>
      <rPr>
        <b/>
        <sz val="20"/>
        <color rgb="FFF4F72E"/>
        <rFont val="Microsoft YaHei"/>
        <charset val="134"/>
      </rPr>
      <t>良</t>
    </r>
    <r>
      <rPr>
        <b/>
        <sz val="12"/>
        <color rgb="FF8939FC"/>
        <rFont val="Microsoft YaHei"/>
        <charset val="134"/>
      </rPr>
      <t>(W)</t>
    </r>
    <r>
      <rPr>
        <sz val="20"/>
        <color rgb="FFF4F72E"/>
        <rFont val="Microsoft YaHei"/>
        <charset val="134"/>
      </rPr>
      <t xml:space="preserve">
</t>
    </r>
    <r>
      <rPr>
        <b/>
        <sz val="14"/>
        <color rgb="FFFFFFFF"/>
        <rFont val="Microsoft YaHei"/>
        <charset val="134"/>
      </rPr>
      <t>有饰品：</t>
    </r>
    <r>
      <rPr>
        <b/>
        <sz val="20"/>
        <color rgb="FF70EF42"/>
        <rFont val="Microsoft YaHei"/>
        <charset val="134"/>
      </rPr>
      <t>优</t>
    </r>
    <r>
      <rPr>
        <b/>
        <sz val="12"/>
        <color rgb="FF8939FC"/>
        <rFont val="Microsoft YaHei"/>
        <charset val="134"/>
      </rPr>
      <t xml:space="preserve">(W) </t>
    </r>
    <r>
      <rPr>
        <b/>
        <sz val="12"/>
        <color rgb="FF7F7F7F"/>
        <rFont val="Microsoft YaHei"/>
        <charset val="134"/>
      </rPr>
      <t>【一般(4)】</t>
    </r>
  </si>
  <si>
    <r>
      <rPr>
        <b/>
        <sz val="20"/>
        <color rgb="FFF42C3E"/>
        <rFont val="微软雅黑"/>
        <charset val="134"/>
      </rPr>
      <t>差</t>
    </r>
    <r>
      <rPr>
        <b/>
        <sz val="12"/>
        <color rgb="FF8939FC"/>
        <rFont val="微软雅黑"/>
        <charset val="134"/>
      </rPr>
      <t>(W)</t>
    </r>
  </si>
  <si>
    <t>计数器只有1，五级员工压迫不容易出逃，但出逃很难管</t>
  </si>
  <si>
    <r>
      <rPr>
        <b/>
        <sz val="14"/>
        <color rgb="FFD58EFF"/>
        <rFont val="Microsoft YaHei"/>
        <charset val="134"/>
      </rPr>
      <t>DPS：8.0(11.33)</t>
    </r>
    <r>
      <rPr>
        <sz val="14"/>
        <color rgb="FFFFFFFF"/>
        <rFont val="Microsoft YaHei"/>
        <charset val="134"/>
      </rPr>
      <t xml:space="preserve">  有饰品以后是很强的w武器</t>
    </r>
  </si>
  <si>
    <r>
      <rPr>
        <sz val="14"/>
        <color rgb="FFCB2743"/>
        <rFont val="Microsoft YaHei"/>
        <charset val="134"/>
      </rPr>
      <t>0.8</t>
    </r>
    <r>
      <rPr>
        <sz val="14"/>
        <color rgb="FFEEECBF"/>
        <rFont val="Microsoft YaHei"/>
        <charset val="134"/>
      </rPr>
      <t xml:space="preserve"> 1.2 </t>
    </r>
    <r>
      <rPr>
        <sz val="14"/>
        <color rgb="FFA562AD"/>
        <rFont val="Microsoft YaHei"/>
        <charset val="134"/>
      </rPr>
      <t>0.6</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紫抗甲，弱白</t>
    </r>
  </si>
  <si>
    <t>T-02-43</t>
  </si>
  <si>
    <r>
      <rPr>
        <u/>
        <sz val="14"/>
        <color rgb="FFFFFFFF"/>
        <rFont val="微软雅黑"/>
        <charset val="134"/>
      </rPr>
      <t>蜘蛛巢</t>
    </r>
  </si>
  <si>
    <r>
      <rPr>
        <b/>
        <sz val="20"/>
        <color rgb="FFF42C3E"/>
        <rFont val="Microsoft YaHei"/>
        <charset val="134"/>
      </rPr>
      <t>差</t>
    </r>
    <r>
      <rPr>
        <b/>
        <sz val="12"/>
        <color rgb="FF21AEFF"/>
        <rFont val="Microsoft YaHei"/>
        <charset val="134"/>
      </rPr>
      <t xml:space="preserve">(T) </t>
    </r>
    <r>
      <rPr>
        <b/>
        <sz val="12"/>
        <color rgb="FF7F7F7F"/>
        <rFont val="Microsoft YaHei"/>
        <charset val="134"/>
      </rPr>
      <t>【近(3)】</t>
    </r>
  </si>
  <si>
    <r>
      <rPr>
        <b/>
        <sz val="20"/>
        <color rgb="FF70EF42"/>
        <rFont val="微软雅黑"/>
        <charset val="134"/>
      </rPr>
      <t>优</t>
    </r>
    <r>
      <rPr>
        <b/>
        <sz val="12"/>
        <color rgb="FF21AEFF"/>
        <rFont val="微软雅黑"/>
        <charset val="134"/>
      </rPr>
      <t>(T)</t>
    </r>
  </si>
  <si>
    <t>很安全的异想体</t>
  </si>
  <si>
    <r>
      <rPr>
        <b/>
        <sz val="14"/>
        <color rgb="FFC00000"/>
        <rFont val="Microsoft YaHei"/>
        <charset val="134"/>
      </rPr>
      <t>DPS：4.0</t>
    </r>
    <r>
      <rPr>
        <sz val="14"/>
        <color rgb="FFFFFFFF"/>
        <rFont val="Microsoft YaHei"/>
        <charset val="134"/>
      </rPr>
      <t xml:space="preserve">  近距离，伤害不高</t>
    </r>
  </si>
  <si>
    <r>
      <rPr>
        <sz val="14"/>
        <color rgb="FFCB2743"/>
        <rFont val="Microsoft YaHei"/>
        <charset val="134"/>
      </rPr>
      <t>0.8</t>
    </r>
    <r>
      <rPr>
        <sz val="14"/>
        <color rgb="FFEEECBF"/>
        <rFont val="Microsoft YaHei"/>
        <charset val="134"/>
      </rPr>
      <t xml:space="preserve"> 0.8 </t>
    </r>
    <r>
      <rPr>
        <sz val="14"/>
        <color rgb="FFA562AD"/>
        <rFont val="Microsoft YaHei"/>
        <charset val="134"/>
      </rPr>
      <t>0.8</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T级均衡甲</t>
    </r>
  </si>
  <si>
    <t>F-02-44</t>
  </si>
  <si>
    <r>
      <rPr>
        <u/>
        <sz val="14"/>
        <color rgb="FFFFFFFF"/>
        <rFont val="微软雅黑"/>
        <charset val="134"/>
      </rPr>
      <t>美女和野兽</t>
    </r>
  </si>
  <si>
    <r>
      <rPr>
        <b/>
        <sz val="20"/>
        <color rgb="FF70EF42"/>
        <rFont val="Microsoft YaHei"/>
        <charset val="134"/>
      </rPr>
      <t>优</t>
    </r>
    <r>
      <rPr>
        <b/>
        <sz val="12"/>
        <color rgb="FF21AEFF"/>
        <rFont val="Microsoft YaHei"/>
        <charset val="134"/>
      </rPr>
      <t xml:space="preserve">(T) </t>
    </r>
    <r>
      <rPr>
        <b/>
        <sz val="12"/>
        <color rgb="FF7F7F7F"/>
        <rFont val="Microsoft YaHei"/>
        <charset val="134"/>
      </rPr>
      <t>【一般(4)】</t>
    </r>
  </si>
  <si>
    <r>
      <rPr>
        <b/>
        <sz val="20"/>
        <color rgb="FFF4F72E"/>
        <rFont val="Microsoft YaHei"/>
        <charset val="134"/>
      </rPr>
      <t>良</t>
    </r>
    <r>
      <rPr>
        <b/>
        <sz val="12"/>
        <color rgb="FF21AEFF"/>
        <rFont val="Microsoft YaHei"/>
        <charset val="134"/>
      </rPr>
      <t>(T)</t>
    </r>
  </si>
  <si>
    <t>需要洞察压迫轮流管，鱼脑杀手</t>
  </si>
  <si>
    <r>
      <rPr>
        <b/>
        <sz val="14"/>
        <color rgb="FFC00000"/>
        <rFont val="Microsoft YaHei"/>
        <charset val="134"/>
      </rPr>
      <t xml:space="preserve">DPS：4.76 </t>
    </r>
    <r>
      <rPr>
        <sz val="14"/>
        <color rgb="FFFFFFFF"/>
        <rFont val="Microsoft YaHei"/>
        <charset val="134"/>
      </rPr>
      <t xml:space="preserve"> 伤害很高，前期战神</t>
    </r>
  </si>
  <si>
    <r>
      <rPr>
        <sz val="14"/>
        <color rgb="FFCB2743"/>
        <rFont val="Microsoft YaHei"/>
        <charset val="134"/>
      </rPr>
      <t>0.8</t>
    </r>
    <r>
      <rPr>
        <sz val="14"/>
        <color rgb="FFEEECBF"/>
        <rFont val="Microsoft YaHei"/>
        <charset val="134"/>
      </rPr>
      <t xml:space="preserve"> 0.8 </t>
    </r>
    <r>
      <rPr>
        <sz val="14"/>
        <color rgb="FFA562AD"/>
        <rFont val="Microsoft YaHei"/>
        <charset val="134"/>
      </rPr>
      <t>1.5</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黑抗低，但前期红白泛用</t>
    </r>
  </si>
  <si>
    <t>O-01-45</t>
  </si>
  <si>
    <r>
      <rPr>
        <u/>
        <sz val="14"/>
        <color rgb="FFFFFFFF"/>
        <rFont val="微软雅黑"/>
        <charset val="134"/>
      </rPr>
      <t>疫医</t>
    </r>
  </si>
  <si>
    <r>
      <rPr>
        <b/>
        <sz val="20"/>
        <color rgb="FFF42C3E"/>
        <rFont val="Microsoft YaHei"/>
        <charset val="134"/>
      </rPr>
      <t>极低</t>
    </r>
    <r>
      <rPr>
        <sz val="20"/>
        <color rgb="FFF42C3E"/>
        <rFont val="Microsoft YaHei"/>
        <charset val="134"/>
      </rPr>
      <t xml:space="preserve">
</t>
    </r>
    <r>
      <rPr>
        <sz val="20"/>
        <color rgb="FFFFFFFF"/>
        <rFont val="Microsoft YaHei"/>
        <charset val="134"/>
      </rPr>
      <t>有审判甲前别碰！！！</t>
    </r>
  </si>
  <si>
    <r>
      <rPr>
        <b/>
        <sz val="20"/>
        <color rgb="FF70EF42"/>
        <rFont val="Microsoft YaHei"/>
        <charset val="134"/>
      </rPr>
      <t>极优</t>
    </r>
    <r>
      <rPr>
        <b/>
        <sz val="14"/>
        <color rgb="FFEB0E0B"/>
        <rFont val="Microsoft YaHei"/>
        <charset val="134"/>
      </rPr>
      <t xml:space="preserve">(A) </t>
    </r>
    <r>
      <rPr>
        <b/>
        <sz val="14"/>
        <color rgb="FF7F7F7F"/>
        <rFont val="Microsoft YaHei"/>
        <charset val="134"/>
      </rPr>
      <t>【极远(80)】</t>
    </r>
  </si>
  <si>
    <r>
      <rPr>
        <b/>
        <sz val="14"/>
        <color rgb="FFFFFFFF"/>
        <rFont val="Microsoft YaHei"/>
        <charset val="134"/>
      </rPr>
      <t>收容白夜：</t>
    </r>
    <r>
      <rPr>
        <b/>
        <sz val="20"/>
        <color rgb="FF70EF42"/>
        <rFont val="Microsoft YaHei"/>
        <charset val="134"/>
      </rPr>
      <t>极优</t>
    </r>
    <r>
      <rPr>
        <b/>
        <sz val="12"/>
        <color rgb="FFEB0E0B"/>
        <rFont val="Microsoft YaHei"/>
        <charset val="134"/>
      </rPr>
      <t>(A)</t>
    </r>
    <r>
      <rPr>
        <sz val="20"/>
        <color rgb="FF70EF42"/>
        <rFont val="等线"/>
        <charset val="134"/>
        <scheme val="minor"/>
      </rPr>
      <t xml:space="preserve">
</t>
    </r>
    <r>
      <rPr>
        <b/>
        <sz val="14"/>
        <color rgb="FFFFFFFF"/>
        <rFont val="Microsoft YaHei"/>
        <charset val="134"/>
      </rPr>
      <t>不收容：</t>
    </r>
    <r>
      <rPr>
        <b/>
        <sz val="20"/>
        <color rgb="FFF4F72E"/>
        <rFont val="Microsoft YaHei"/>
        <charset val="134"/>
      </rPr>
      <t>良</t>
    </r>
    <r>
      <rPr>
        <b/>
        <sz val="12"/>
        <color rgb="FFEB0E0B"/>
        <rFont val="Microsoft YaHei"/>
        <charset val="134"/>
      </rPr>
      <t>(A)</t>
    </r>
  </si>
  <si>
    <t>T-03-46</t>
  </si>
  <si>
    <r>
      <rPr>
        <u/>
        <sz val="14"/>
        <color rgb="FFFFFFFF"/>
        <rFont val="微软雅黑"/>
        <charset val="134"/>
      </rPr>
      <t>白夜</t>
    </r>
  </si>
  <si>
    <t>最强A级，需要按时间管</t>
  </si>
  <si>
    <r>
      <rPr>
        <sz val="14"/>
        <color rgb="FFFFFFFF"/>
        <rFont val="Microsoft YaHei"/>
        <charset val="134"/>
      </rPr>
      <t>收容前：</t>
    </r>
    <r>
      <rPr>
        <b/>
        <sz val="14"/>
        <color rgb="FF99DDFF"/>
        <rFont val="Microsoft YaHei"/>
        <charset val="134"/>
      </rPr>
      <t>DPS：12.5(10.5/9.0)</t>
    </r>
    <r>
      <rPr>
        <sz val="14"/>
        <color rgb="FFFFFFFF"/>
        <rFont val="Microsoft YaHei"/>
        <charset val="134"/>
      </rPr>
      <t xml:space="preserve">
收容后：</t>
    </r>
    <r>
      <rPr>
        <b/>
        <sz val="14"/>
        <color rgb="FF99DDFF"/>
        <rFont val="Microsoft YaHei"/>
        <charset val="134"/>
      </rPr>
      <t>DPS：13.3(11.5/10.2)</t>
    </r>
    <r>
      <rPr>
        <sz val="14"/>
        <color rgb="FFFFFFFF"/>
        <rFont val="Microsoft YaHei"/>
        <charset val="134"/>
      </rPr>
      <t xml:space="preserve">
强群攻，但要收容白夜才能完全发挥</t>
    </r>
  </si>
  <si>
    <r>
      <rPr>
        <sz val="14"/>
        <color rgb="FFFFFFFF"/>
        <rFont val="Microsoft YaHei"/>
        <charset val="134"/>
      </rPr>
      <t>收容前：</t>
    </r>
    <r>
      <rPr>
        <sz val="14"/>
        <color rgb="FFCB2743"/>
        <rFont val="Microsoft YaHei"/>
        <charset val="134"/>
      </rPr>
      <t>0.5</t>
    </r>
    <r>
      <rPr>
        <sz val="14"/>
        <color rgb="FFEEECBF"/>
        <rFont val="Microsoft YaHei"/>
        <charset val="134"/>
      </rPr>
      <t xml:space="preserve"> 0.5</t>
    </r>
    <r>
      <rPr>
        <sz val="14"/>
        <color rgb="FFFFFFFF"/>
        <rFont val="Microsoft YaHei"/>
        <charset val="134"/>
      </rPr>
      <t xml:space="preserve"> </t>
    </r>
    <r>
      <rPr>
        <sz val="14"/>
        <color rgb="FFA562AD"/>
        <rFont val="Microsoft YaHei"/>
        <charset val="134"/>
      </rPr>
      <t>0.5</t>
    </r>
    <r>
      <rPr>
        <b/>
        <sz val="14"/>
        <color rgb="FFFFFFFF"/>
        <rFont val="Microsoft YaHei"/>
        <charset val="134"/>
      </rPr>
      <t xml:space="preserve"> </t>
    </r>
    <r>
      <rPr>
        <b/>
        <sz val="14"/>
        <color rgb="FF3FCDBD"/>
        <rFont val="Microsoft YaHei"/>
        <charset val="134"/>
      </rPr>
      <t>0.3</t>
    </r>
    <r>
      <rPr>
        <sz val="14"/>
        <color rgb="FFFFFFFF"/>
        <rFont val="Microsoft YaHei"/>
        <charset val="134"/>
      </rPr>
      <t xml:space="preserve">
收容后：</t>
    </r>
    <r>
      <rPr>
        <sz val="14"/>
        <color rgb="FFCB2743"/>
        <rFont val="Microsoft YaHei"/>
        <charset val="134"/>
      </rPr>
      <t>0.2</t>
    </r>
    <r>
      <rPr>
        <sz val="14"/>
        <color rgb="FFFFFFFF"/>
        <rFont val="Microsoft YaHei"/>
        <charset val="134"/>
      </rPr>
      <t xml:space="preserve"> </t>
    </r>
    <r>
      <rPr>
        <sz val="14"/>
        <color rgb="FFEEECBF"/>
        <rFont val="Microsoft YaHei"/>
        <charset val="134"/>
      </rPr>
      <t>0.2</t>
    </r>
    <r>
      <rPr>
        <sz val="14"/>
        <color rgb="FFFFFFFF"/>
        <rFont val="Microsoft YaHei"/>
        <charset val="134"/>
      </rPr>
      <t xml:space="preserve"> </t>
    </r>
    <r>
      <rPr>
        <sz val="14"/>
        <color rgb="FFA562AD"/>
        <rFont val="Microsoft YaHei"/>
        <charset val="134"/>
      </rPr>
      <t>0.2</t>
    </r>
    <r>
      <rPr>
        <b/>
        <sz val="14"/>
        <color rgb="FFFFFFFF"/>
        <rFont val="Microsoft YaHei"/>
        <charset val="134"/>
      </rPr>
      <t xml:space="preserve"> </t>
    </r>
    <r>
      <rPr>
        <b/>
        <sz val="14"/>
        <color rgb="FF3FCDBD"/>
        <rFont val="Microsoft YaHei"/>
        <charset val="134"/>
      </rPr>
      <t>0.2</t>
    </r>
    <r>
      <rPr>
        <sz val="14"/>
        <color rgb="FFFFFFFF"/>
        <rFont val="Microsoft YaHei"/>
        <charset val="134"/>
      </rPr>
      <t xml:space="preserve">
特殊功能免疫/吸收
但总的来说没收容白夜的时没那么强</t>
    </r>
  </si>
  <si>
    <t>O-05-47</t>
  </si>
  <si>
    <r>
      <rPr>
        <u/>
        <sz val="14"/>
        <color rgb="FFFFFFFF"/>
        <rFont val="微软雅黑"/>
        <charset val="134"/>
      </rPr>
      <t>别碰我</t>
    </r>
  </si>
  <si>
    <t>容易重开，占着位置也没什么收益，不如不要</t>
  </si>
  <si>
    <t>F-02-49</t>
  </si>
  <si>
    <r>
      <rPr>
        <u/>
        <sz val="14"/>
        <color rgb="FFFFFFFF"/>
        <rFont val="微软雅黑"/>
        <charset val="134"/>
      </rPr>
      <t>雪橇鲁道夫</t>
    </r>
  </si>
  <si>
    <r>
      <rPr>
        <b/>
        <sz val="20"/>
        <color rgb="FFF42C3E"/>
        <rFont val="Microsoft YaHei"/>
        <charset val="134"/>
      </rPr>
      <t>差</t>
    </r>
    <r>
      <rPr>
        <b/>
        <sz val="12"/>
        <color rgb="FFFFFF0B"/>
        <rFont val="Microsoft YaHei"/>
        <charset val="134"/>
      </rPr>
      <t xml:space="preserve">(H) </t>
    </r>
    <r>
      <rPr>
        <b/>
        <sz val="12"/>
        <color rgb="FF7F7F7F"/>
        <rFont val="Microsoft YaHei"/>
        <charset val="134"/>
      </rPr>
      <t>【近(3)】</t>
    </r>
  </si>
  <si>
    <t>后期不容易跑，还算好镇压，就是长得丑</t>
  </si>
  <si>
    <r>
      <rPr>
        <b/>
        <sz val="14"/>
        <color rgb="FFFFF9E3"/>
        <rFont val="Microsoft YaHei"/>
        <charset val="134"/>
      </rPr>
      <t>DPS：6.0</t>
    </r>
    <r>
      <rPr>
        <sz val="14"/>
        <color rgb="FFFFFFFF"/>
        <rFont val="Microsoft YaHei"/>
        <charset val="134"/>
      </rPr>
      <t xml:space="preserve">  近，dps又一般</t>
    </r>
  </si>
  <si>
    <r>
      <rPr>
        <sz val="14"/>
        <color rgb="FFCB2743"/>
        <rFont val="Microsoft YaHei"/>
        <charset val="134"/>
      </rPr>
      <t>0.8</t>
    </r>
    <r>
      <rPr>
        <b/>
        <sz val="14"/>
        <color rgb="FFEEECBF"/>
        <rFont val="Microsoft YaHei"/>
        <charset val="134"/>
      </rPr>
      <t xml:space="preserve"> 0.6 </t>
    </r>
    <r>
      <rPr>
        <sz val="14"/>
        <color rgb="FFA562AD"/>
        <rFont val="Microsoft YaHei"/>
        <charset val="134"/>
      </rPr>
      <t>1.3</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白抗甲，弱紫</t>
    </r>
  </si>
  <si>
    <t>T-04-50</t>
  </si>
  <si>
    <r>
      <rPr>
        <u/>
        <sz val="14"/>
        <color rgb="FFFFFFFF"/>
        <rFont val="微软雅黑"/>
        <charset val="134"/>
      </rPr>
      <t>蜂后</t>
    </r>
  </si>
  <si>
    <r>
      <rPr>
        <b/>
        <sz val="20"/>
        <color rgb="FF70EF42"/>
        <rFont val="Microsoft YaHei"/>
        <charset val="134"/>
      </rPr>
      <t>极优</t>
    </r>
    <r>
      <rPr>
        <b/>
        <sz val="12"/>
        <color rgb="FF8939FC"/>
        <rFont val="Microsoft YaHei"/>
        <charset val="134"/>
      </rPr>
      <t xml:space="preserve">(W) </t>
    </r>
    <r>
      <rPr>
        <b/>
        <sz val="12"/>
        <color rgb="FF7F7F7F"/>
        <rFont val="Microsoft YaHei"/>
        <charset val="134"/>
      </rPr>
      <t>【极远(25)】</t>
    </r>
  </si>
  <si>
    <t>感染型中比较好管的，对员工威胁不大，红盾也可以保护员工，文职变成的工蜂也算好打</t>
  </si>
  <si>
    <r>
      <rPr>
        <b/>
        <sz val="14"/>
        <color rgb="FFC00000"/>
        <rFont val="Microsoft YaHei"/>
        <charset val="134"/>
      </rPr>
      <t>DPS：7.5</t>
    </r>
    <r>
      <rPr>
        <sz val="14"/>
        <color rgb="FFFFFFFF"/>
        <rFont val="Microsoft YaHei"/>
        <charset val="134"/>
      </rPr>
      <t xml:space="preserve">  来复枪模板都好用</t>
    </r>
  </si>
  <si>
    <r>
      <rPr>
        <sz val="14"/>
        <color rgb="FFCB2743"/>
        <rFont val="Microsoft YaHei"/>
        <charset val="134"/>
      </rPr>
      <t>0.7</t>
    </r>
    <r>
      <rPr>
        <sz val="14"/>
        <color rgb="FFEEECBF"/>
        <rFont val="Microsoft YaHei"/>
        <charset val="134"/>
      </rPr>
      <t xml:space="preserve"> 0.7 </t>
    </r>
    <r>
      <rPr>
        <sz val="14"/>
        <color rgb="FFA562AD"/>
        <rFont val="Microsoft YaHei"/>
        <charset val="134"/>
      </rPr>
      <t>0.7</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W均衡甲</t>
    </r>
  </si>
  <si>
    <t>T-05-51</t>
  </si>
  <si>
    <r>
      <rPr>
        <u/>
        <sz val="14"/>
        <color rgb="FFFFFFFF"/>
        <rFont val="Microsoft YaHei"/>
        <charset val="134"/>
      </rPr>
      <t>血浴缸</t>
    </r>
  </si>
  <si>
    <r>
      <rPr>
        <b/>
        <sz val="20"/>
        <color rgb="FFF42C3E"/>
        <rFont val="Microsoft YaHei"/>
        <charset val="134"/>
      </rPr>
      <t>差</t>
    </r>
    <r>
      <rPr>
        <b/>
        <sz val="12"/>
        <color rgb="FF21AEFF"/>
        <rFont val="Microsoft YaHei"/>
        <charset val="134"/>
      </rPr>
      <t>(T)</t>
    </r>
    <r>
      <rPr>
        <b/>
        <sz val="12"/>
        <color rgb="FF7F7F7F"/>
        <rFont val="Microsoft YaHei"/>
        <charset val="134"/>
      </rPr>
      <t xml:space="preserve"> 【极近(2)】</t>
    </r>
  </si>
  <si>
    <t>勇气1或自律1机制死，此外很好管</t>
  </si>
  <si>
    <r>
      <rPr>
        <b/>
        <sz val="14"/>
        <color rgb="FFFFFFFF"/>
        <rFont val="Microsoft YaHei"/>
        <charset val="134"/>
      </rPr>
      <t>DPS：3.75</t>
    </r>
    <r>
      <rPr>
        <sz val="14"/>
        <color rgb="FFFFFFFF"/>
        <rFont val="Microsoft YaHei"/>
        <charset val="134"/>
      </rPr>
      <t xml:space="preserve">  极近前期不推荐</t>
    </r>
  </si>
  <si>
    <r>
      <rPr>
        <sz val="14"/>
        <color rgb="FFCB2743"/>
        <rFont val="Microsoft YaHei"/>
        <charset val="134"/>
      </rPr>
      <t>1.0</t>
    </r>
    <r>
      <rPr>
        <sz val="14"/>
        <color rgb="FFEEECBF"/>
        <rFont val="Microsoft YaHei"/>
        <charset val="134"/>
      </rPr>
      <t xml:space="preserve"> </t>
    </r>
    <r>
      <rPr>
        <b/>
        <sz val="14"/>
        <color rgb="FFEEECBF"/>
        <rFont val="Microsoft YaHei"/>
        <charset val="134"/>
      </rPr>
      <t xml:space="preserve">0.6 </t>
    </r>
    <r>
      <rPr>
        <sz val="14"/>
        <color rgb="FFA562AD"/>
        <rFont val="Microsoft YaHei"/>
        <charset val="134"/>
      </rPr>
      <t>1.2</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单白抗甲</t>
    </r>
  </si>
  <si>
    <t>F-05-52</t>
  </si>
  <si>
    <r>
      <rPr>
        <u/>
        <sz val="14"/>
        <color rgb="FFFFFFFF"/>
        <rFont val="微软雅黑"/>
        <charset val="134"/>
      </rPr>
      <t>韦尔奇乐牌汽水</t>
    </r>
  </si>
  <si>
    <r>
      <rPr>
        <b/>
        <sz val="20"/>
        <color rgb="FF70EF42"/>
        <rFont val="Microsoft YaHei"/>
        <charset val="134"/>
      </rPr>
      <t>优</t>
    </r>
    <r>
      <rPr>
        <b/>
        <sz val="12"/>
        <color rgb="FF24FD06"/>
        <rFont val="Microsoft YaHei"/>
        <charset val="134"/>
      </rPr>
      <t xml:space="preserve">(Z) </t>
    </r>
    <r>
      <rPr>
        <b/>
        <sz val="12"/>
        <color rgb="FF7F7F7F"/>
        <rFont val="Microsoft YaHei"/>
        <charset val="134"/>
      </rPr>
      <t>【远(10)】</t>
    </r>
  </si>
  <si>
    <t>工作差即死，但一般不会</t>
  </si>
  <si>
    <r>
      <rPr>
        <b/>
        <sz val="14"/>
        <color rgb="FFC00000"/>
        <rFont val="Microsoft YaHei"/>
        <charset val="134"/>
      </rPr>
      <t xml:space="preserve">DPS：2.25 </t>
    </r>
    <r>
      <rPr>
        <sz val="14"/>
        <color rgb="FFFFFFFF"/>
        <rFont val="Microsoft YaHei"/>
        <charset val="134"/>
      </rPr>
      <t xml:space="preserve"> Z级手枪，尽早淘汰</t>
    </r>
  </si>
  <si>
    <r>
      <rPr>
        <sz val="14"/>
        <color rgb="FFCB2743"/>
        <rFont val="Microsoft YaHei"/>
        <charset val="134"/>
      </rPr>
      <t>0.8</t>
    </r>
    <r>
      <rPr>
        <sz val="14"/>
        <color rgb="FFEEECBF"/>
        <rFont val="Microsoft YaHei"/>
        <charset val="134"/>
      </rPr>
      <t xml:space="preserve"> 1.0 </t>
    </r>
    <r>
      <rPr>
        <sz val="14"/>
        <color rgb="FFA562AD"/>
        <rFont val="Microsoft YaHei"/>
        <charset val="134"/>
      </rPr>
      <t>1.0</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不如忏悔，过度用</t>
    </r>
  </si>
  <si>
    <t>T-04-53</t>
  </si>
  <si>
    <r>
      <rPr>
        <u/>
        <sz val="14"/>
        <color rgb="FFFFFFFF"/>
        <rFont val="微软雅黑"/>
        <charset val="134"/>
      </rPr>
      <t>爱娜温</t>
    </r>
  </si>
  <si>
    <r>
      <rPr>
        <b/>
        <sz val="20"/>
        <color rgb="FF70EF42"/>
        <rFont val="Microsoft YaHei"/>
        <charset val="134"/>
      </rPr>
      <t>优</t>
    </r>
    <r>
      <rPr>
        <b/>
        <sz val="12"/>
        <color rgb="FF8939FC"/>
        <rFont val="Microsoft YaHei"/>
        <charset val="134"/>
      </rPr>
      <t xml:space="preserve">(W) </t>
    </r>
    <r>
      <rPr>
        <b/>
        <sz val="12"/>
        <color rgb="FF7F7F7F"/>
        <rFont val="Microsoft YaHei"/>
        <charset val="134"/>
      </rPr>
      <t>【极远(20)】</t>
    </r>
  </si>
  <si>
    <t>工作要求良，出逃很难打</t>
  </si>
  <si>
    <r>
      <rPr>
        <b/>
        <sz val="14"/>
        <color rgb="FFFFFFFF"/>
        <rFont val="Microsoft YaHei"/>
        <charset val="134"/>
      </rPr>
      <t>DPS：7.5</t>
    </r>
    <r>
      <rPr>
        <sz val="14"/>
        <color rgb="FFFFFFFF"/>
        <rFont val="Microsoft YaHei"/>
        <charset val="134"/>
      </rPr>
      <t xml:space="preserve">  远距离</t>
    </r>
  </si>
  <si>
    <r>
      <rPr>
        <sz val="14"/>
        <color rgb="FFCB2743"/>
        <rFont val="Microsoft YaHei"/>
        <charset val="134"/>
      </rPr>
      <t>1.2</t>
    </r>
    <r>
      <rPr>
        <sz val="14"/>
        <color rgb="FFEEECBF"/>
        <rFont val="Microsoft YaHei"/>
        <charset val="134"/>
      </rPr>
      <t xml:space="preserve"> </t>
    </r>
    <r>
      <rPr>
        <b/>
        <sz val="14"/>
        <color rgb="FFEEECBF"/>
        <rFont val="Microsoft YaHei"/>
        <charset val="134"/>
      </rPr>
      <t>0.6</t>
    </r>
    <r>
      <rPr>
        <sz val="14"/>
        <color rgb="FFEEECBF"/>
        <rFont val="Microsoft YaHei"/>
        <charset val="134"/>
      </rPr>
      <t xml:space="preserve"> </t>
    </r>
    <r>
      <rPr>
        <sz val="14"/>
        <color rgb="FFA562AD"/>
        <rFont val="Microsoft YaHei"/>
        <charset val="134"/>
      </rPr>
      <t>0.8</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白抗甲，弱红</t>
    </r>
  </si>
  <si>
    <t>T-01-54</t>
  </si>
  <si>
    <r>
      <rPr>
        <u/>
        <sz val="14"/>
        <color rgb="FFFFFFFF"/>
        <rFont val="微软雅黑"/>
        <charset val="134"/>
      </rPr>
      <t>被遗弃的杀人魔</t>
    </r>
  </si>
  <si>
    <r>
      <rPr>
        <b/>
        <sz val="20"/>
        <color rgb="FFF42C3E"/>
        <rFont val="Microsoft YaHei"/>
        <charset val="134"/>
      </rPr>
      <t>差</t>
    </r>
    <r>
      <rPr>
        <b/>
        <sz val="12"/>
        <color rgb="FF21AEFF"/>
        <rFont val="Microsoft YaHei"/>
        <charset val="134"/>
      </rPr>
      <t xml:space="preserve">(T) </t>
    </r>
    <r>
      <rPr>
        <b/>
        <sz val="12"/>
        <color rgb="FF7F7F7F"/>
        <rFont val="Microsoft YaHei"/>
        <charset val="134"/>
      </rPr>
      <t>【一般(5)】</t>
    </r>
  </si>
  <si>
    <t>容易出逃，但不难镇压</t>
  </si>
  <si>
    <r>
      <rPr>
        <b/>
        <sz val="14"/>
        <color rgb="FFC00000"/>
        <rFont val="Microsoft YaHei"/>
        <charset val="134"/>
      </rPr>
      <t>DPS：5.0</t>
    </r>
    <r>
      <rPr>
        <sz val="14"/>
        <color rgb="FFFFFFFF"/>
        <rFont val="Microsoft YaHei"/>
        <charset val="134"/>
      </rPr>
      <t xml:space="preserve">  距离近，dps一般</t>
    </r>
  </si>
  <si>
    <r>
      <rPr>
        <b/>
        <sz val="14"/>
        <color rgb="FFCB2743"/>
        <rFont val="Microsoft YaHei"/>
        <charset val="134"/>
      </rPr>
      <t>0.7</t>
    </r>
    <r>
      <rPr>
        <sz val="14"/>
        <color rgb="FFEEECBF"/>
        <rFont val="Microsoft YaHei"/>
        <charset val="134"/>
      </rPr>
      <t xml:space="preserve"> 1.2 </t>
    </r>
    <r>
      <rPr>
        <sz val="14"/>
        <color rgb="FFA562AD"/>
        <rFont val="Microsoft YaHei"/>
        <charset val="134"/>
      </rPr>
      <t>0.8</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红抗甲，弱白</t>
    </r>
  </si>
  <si>
    <t>O-01-55</t>
  </si>
  <si>
    <r>
      <rPr>
        <u/>
        <sz val="14"/>
        <color rgb="FFFFFFFF"/>
        <rFont val="微软雅黑"/>
        <charset val="134"/>
      </rPr>
      <t>银河之子</t>
    </r>
  </si>
  <si>
    <r>
      <rPr>
        <b/>
        <sz val="20"/>
        <color rgb="FFF4F72E"/>
        <rFont val="Microsoft YaHei"/>
        <charset val="134"/>
      </rPr>
      <t>良</t>
    </r>
    <r>
      <rPr>
        <b/>
        <sz val="12"/>
        <color rgb="FFFFFF0B"/>
        <rFont val="Microsoft YaHei"/>
        <charset val="134"/>
      </rPr>
      <t xml:space="preserve">(H) </t>
    </r>
    <r>
      <rPr>
        <b/>
        <sz val="12"/>
        <color rgb="FF7F7F7F"/>
        <rFont val="Microsoft YaHei"/>
        <charset val="134"/>
      </rPr>
      <t>【一般(8)】</t>
    </r>
  </si>
  <si>
    <t>鹅卵石buff/饰品很强，但也很容易鱼脑，一切都有代价</t>
  </si>
  <si>
    <r>
      <rPr>
        <b/>
        <sz val="14"/>
        <color rgb="FFD58EFF"/>
        <rFont val="Microsoft YaHei"/>
        <charset val="134"/>
      </rPr>
      <t>DPS：6.0</t>
    </r>
    <r>
      <rPr>
        <sz val="14"/>
        <color rgb="FFFFFFFF"/>
        <rFont val="Microsoft YaHei"/>
        <charset val="134"/>
      </rPr>
      <t xml:space="preserve">  dps一般</t>
    </r>
  </si>
  <si>
    <r>
      <rPr>
        <sz val="14"/>
        <color rgb="FFCB2743"/>
        <rFont val="Microsoft YaHei"/>
        <charset val="134"/>
      </rPr>
      <t>0.8</t>
    </r>
    <r>
      <rPr>
        <sz val="14"/>
        <color rgb="FFEEECBF"/>
        <rFont val="Microsoft YaHei"/>
        <charset val="134"/>
      </rPr>
      <t xml:space="preserve"> 0.8 </t>
    </r>
    <r>
      <rPr>
        <sz val="14"/>
        <color rgb="FFA562AD"/>
        <rFont val="Microsoft YaHei"/>
        <charset val="134"/>
      </rPr>
      <t>1.2</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双抗甲弱紫</t>
    </r>
  </si>
  <si>
    <t>O-02-56</t>
  </si>
  <si>
    <r>
      <rPr>
        <u/>
        <sz val="14"/>
        <color rgb="FFFFFFFF"/>
        <rFont val="微软雅黑"/>
        <charset val="134"/>
      </rPr>
      <t>惩戒鸟</t>
    </r>
  </si>
  <si>
    <t>出逃了不用管就行</t>
  </si>
  <si>
    <r>
      <rPr>
        <b/>
        <sz val="14"/>
        <color rgb="FFC00000"/>
        <rFont val="Microsoft YaHei"/>
        <charset val="134"/>
      </rPr>
      <t xml:space="preserve">DPS：3.75 </t>
    </r>
    <r>
      <rPr>
        <sz val="14"/>
        <color rgb="FFFFFFFF"/>
        <rFont val="Microsoft YaHei"/>
        <charset val="134"/>
      </rPr>
      <t xml:space="preserve"> 距离远攻速快</t>
    </r>
  </si>
  <si>
    <r>
      <rPr>
        <b/>
        <sz val="14"/>
        <color rgb="FFCB2743"/>
        <rFont val="Microsoft YaHei"/>
        <charset val="134"/>
      </rPr>
      <t>0.7</t>
    </r>
    <r>
      <rPr>
        <sz val="14"/>
        <color rgb="FFEEECBF"/>
        <rFont val="Microsoft YaHei"/>
        <charset val="134"/>
      </rPr>
      <t xml:space="preserve"> 0.8 </t>
    </r>
    <r>
      <rPr>
        <sz val="14"/>
        <color rgb="FFA562AD"/>
        <rFont val="Microsoft YaHei"/>
        <charset val="134"/>
      </rPr>
      <t>1.2</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红抗甲，弱紫</t>
    </r>
  </si>
  <si>
    <t>前期不容易镇压，后期还行</t>
  </si>
  <si>
    <t>F-01-57</t>
  </si>
  <si>
    <r>
      <rPr>
        <u/>
        <sz val="14"/>
        <color rgb="FFFFFFFF"/>
        <rFont val="微软雅黑"/>
        <charset val="134"/>
      </rPr>
      <t>小红帽雇佣兵</t>
    </r>
  </si>
  <si>
    <r>
      <rPr>
        <b/>
        <sz val="16"/>
        <color rgb="FFFFFFFF"/>
        <rFont val="Microsoft YaHei"/>
        <charset val="134"/>
      </rPr>
      <t>有拟态前：</t>
    </r>
    <r>
      <rPr>
        <b/>
        <sz val="20"/>
        <color rgb="FFDE3C36"/>
        <rFont val="Microsoft YaHei"/>
        <charset val="134"/>
      </rPr>
      <t>低</t>
    </r>
    <r>
      <rPr>
        <sz val="20"/>
        <color rgb="FFF4F72E"/>
        <rFont val="Microsoft YaHei"/>
        <charset val="134"/>
      </rPr>
      <t xml:space="preserve">
</t>
    </r>
    <r>
      <rPr>
        <b/>
        <sz val="16"/>
        <color rgb="FFFFFFFF"/>
        <rFont val="Microsoft YaHei"/>
        <charset val="134"/>
      </rPr>
      <t>有拟态后：</t>
    </r>
    <r>
      <rPr>
        <b/>
        <sz val="20"/>
        <color rgb="FFF4F72E"/>
        <rFont val="Microsoft YaHei"/>
        <charset val="134"/>
      </rPr>
      <t>中</t>
    </r>
  </si>
  <si>
    <r>
      <rPr>
        <b/>
        <sz val="20"/>
        <color rgb="FFF4F72E"/>
        <rFont val="Microsoft YaHei"/>
        <charset val="134"/>
      </rPr>
      <t>良</t>
    </r>
    <r>
      <rPr>
        <b/>
        <sz val="12"/>
        <color rgb="FF8939FC"/>
        <rFont val="Microsoft YaHei"/>
        <charset val="134"/>
      </rPr>
      <t>(W)</t>
    </r>
    <r>
      <rPr>
        <b/>
        <sz val="12"/>
        <color rgb="FF7F7F7F"/>
        <rFont val="Microsoft YaHei"/>
        <charset val="134"/>
      </rPr>
      <t xml:space="preserve"> 【极近(2)】（实际为3，可用于镇压绿午夜）</t>
    </r>
  </si>
  <si>
    <r>
      <rPr>
        <b/>
        <sz val="20"/>
        <color rgb="FF70EF42"/>
        <rFont val="Microsoft YaHei"/>
        <charset val="134"/>
      </rPr>
      <t>优</t>
    </r>
    <r>
      <rPr>
        <b/>
        <sz val="12"/>
        <color rgb="FF8939FC"/>
        <rFont val="Microsoft YaHei"/>
        <charset val="134"/>
      </rPr>
      <t>(W)</t>
    </r>
  </si>
  <si>
    <t>没有拟态前建议不要收容这个异想体，非常棘手
有拟态后任然需要看门，雇佣实用性其实也一般</t>
  </si>
  <si>
    <r>
      <rPr>
        <b/>
        <sz val="14"/>
        <color rgb="FFC00000"/>
        <rFont val="Microsoft YaHei"/>
        <charset val="134"/>
      </rPr>
      <t>DPS：8.75(13.13)</t>
    </r>
    <r>
      <rPr>
        <sz val="14"/>
        <color rgb="FFFFFFFF"/>
        <rFont val="Microsoft YaHei"/>
        <charset val="134"/>
      </rPr>
      <t>伤害很高，距离极近，还有友伤
但由于攻击距离近打不到多少友军，需要斟酌</t>
    </r>
  </si>
  <si>
    <r>
      <rPr>
        <b/>
        <sz val="14"/>
        <color rgb="FFCB2743"/>
        <rFont val="Microsoft YaHei"/>
        <charset val="134"/>
      </rPr>
      <t>0.6</t>
    </r>
    <r>
      <rPr>
        <b/>
        <sz val="14"/>
        <color rgb="FFEEECBF"/>
        <rFont val="Microsoft YaHei"/>
        <charset val="134"/>
      </rPr>
      <t xml:space="preserve"> 0.6 </t>
    </r>
    <r>
      <rPr>
        <b/>
        <sz val="14"/>
        <color rgb="FFA562AD"/>
        <rFont val="Microsoft YaHei"/>
        <charset val="134"/>
      </rPr>
      <t>0.6</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W最强均衡甲，还加移速</t>
    </r>
  </si>
  <si>
    <t>有拟态容易镇压</t>
  </si>
  <si>
    <t>F-02-58</t>
  </si>
  <si>
    <r>
      <rPr>
        <u/>
        <sz val="14"/>
        <color rgb="FFFFFFFF"/>
        <rFont val="微软雅黑"/>
        <charset val="134"/>
      </rPr>
      <t>又大又可能很坏的狼</t>
    </r>
  </si>
  <si>
    <r>
      <rPr>
        <b/>
        <sz val="20"/>
        <color rgb="FFF4F72E"/>
        <rFont val="Microsoft YaHei"/>
        <charset val="134"/>
      </rPr>
      <t>良</t>
    </r>
    <r>
      <rPr>
        <b/>
        <sz val="12"/>
        <color rgb="FF8939FC"/>
        <rFont val="Microsoft YaHei"/>
        <charset val="134"/>
      </rPr>
      <t xml:space="preserve">(W) </t>
    </r>
    <r>
      <rPr>
        <b/>
        <sz val="12"/>
        <color rgb="FF7F7F7F"/>
        <rFont val="Microsoft YaHei"/>
        <charset val="134"/>
      </rPr>
      <t>【近(3)】</t>
    </r>
  </si>
  <si>
    <r>
      <rPr>
        <b/>
        <sz val="18"/>
        <color rgb="FFFFFDA6"/>
        <rFont val="Microsoft YaHei"/>
        <charset val="134"/>
      </rPr>
      <t>可镇压</t>
    </r>
  </si>
  <si>
    <t>一般情况下不会出逃，但是出逃了很难打</t>
  </si>
  <si>
    <r>
      <rPr>
        <b/>
        <sz val="14"/>
        <color rgb="FFC00000"/>
        <rFont val="Microsoft YaHei"/>
        <charset val="134"/>
      </rPr>
      <t>DPS：7.92(14.45)+2</t>
    </r>
    <r>
      <rPr>
        <sz val="14"/>
        <color rgb="FFFFFFFF"/>
        <rFont val="Microsoft YaHei"/>
        <charset val="134"/>
      </rPr>
      <t xml:space="preserve">  同上</t>
    </r>
  </si>
  <si>
    <r>
      <rPr>
        <sz val="14"/>
        <color rgb="FFCB2743"/>
        <rFont val="Microsoft YaHei"/>
        <charset val="134"/>
      </rPr>
      <t>0.4</t>
    </r>
    <r>
      <rPr>
        <sz val="14"/>
        <color rgb="FFEEECBF"/>
        <rFont val="Microsoft YaHei"/>
        <charset val="134"/>
      </rPr>
      <t xml:space="preserve"> 0.8 </t>
    </r>
    <r>
      <rPr>
        <sz val="14"/>
        <color rgb="FFA562AD"/>
        <rFont val="Microsoft YaHei"/>
        <charset val="134"/>
      </rPr>
      <t>0.7</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红抗甲，三抗不低注意蓝抗</t>
    </r>
  </si>
  <si>
    <r>
      <rPr>
        <sz val="14"/>
        <color rgb="FFFFFFFF"/>
        <rFont val="Microsoft YaHei"/>
        <charset val="134"/>
      </rPr>
      <t>不容易镇压</t>
    </r>
  </si>
  <si>
    <t>O-03-60</t>
  </si>
  <si>
    <r>
      <rPr>
        <u/>
        <sz val="14"/>
        <color rgb="FFFFFFFF"/>
        <rFont val="微软雅黑"/>
        <charset val="134"/>
      </rPr>
      <t>宇宙碎片</t>
    </r>
  </si>
  <si>
    <t>要求工作优，还算好管，出逃后期没压力</t>
  </si>
  <si>
    <r>
      <rPr>
        <b/>
        <sz val="14"/>
        <color rgb="FFD58EFF"/>
        <rFont val="Microsoft YaHei"/>
        <charset val="134"/>
      </rPr>
      <t>DPS：4.67</t>
    </r>
    <r>
      <rPr>
        <sz val="14"/>
        <color rgb="FFFFFFFF"/>
        <rFont val="Microsoft YaHei"/>
        <charset val="134"/>
      </rPr>
      <t xml:space="preserve">  前期战神，还加精神值</t>
    </r>
  </si>
  <si>
    <r>
      <rPr>
        <sz val="14"/>
        <color rgb="FFCB2743"/>
        <rFont val="Microsoft YaHei"/>
        <charset val="134"/>
      </rPr>
      <t>1.0</t>
    </r>
    <r>
      <rPr>
        <sz val="14"/>
        <color rgb="FFEEECBF"/>
        <rFont val="Microsoft YaHei"/>
        <charset val="134"/>
      </rPr>
      <t xml:space="preserve"> 1.2 </t>
    </r>
    <r>
      <rPr>
        <sz val="14"/>
        <color rgb="FFA562AD"/>
        <rFont val="Microsoft YaHei"/>
        <charset val="134"/>
      </rPr>
      <t>0.6</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紫抗甲，红白都不行</t>
    </r>
  </si>
  <si>
    <t>O-05-61</t>
  </si>
  <si>
    <r>
      <rPr>
        <u/>
        <sz val="14"/>
        <color rgb="FFFFFFFF"/>
        <rFont val="微软雅黑"/>
        <charset val="134"/>
      </rPr>
      <t>破裂盔甲</t>
    </r>
  </si>
  <si>
    <r>
      <rPr>
        <b/>
        <sz val="20"/>
        <color rgb="FF70EF42"/>
        <rFont val="Microsoft YaHei"/>
        <charset val="134"/>
      </rPr>
      <t>优</t>
    </r>
    <r>
      <rPr>
        <b/>
        <sz val="12"/>
        <color rgb="FFFFFF0B"/>
        <rFont val="Microsoft YaHei"/>
        <charset val="134"/>
      </rPr>
      <t xml:space="preserve">(H) </t>
    </r>
    <r>
      <rPr>
        <b/>
        <sz val="12"/>
        <color rgb="FF7F7F7F"/>
        <rFont val="Microsoft YaHei"/>
        <charset val="134"/>
      </rPr>
      <t>【一般(4)】</t>
    </r>
  </si>
  <si>
    <t>压迫会获即死机制的饰品，本能就行</t>
  </si>
  <si>
    <r>
      <rPr>
        <b/>
        <sz val="14"/>
        <color rgb="FF99DDFF"/>
        <rFont val="Microsoft YaHei"/>
        <charset val="134"/>
      </rPr>
      <t>DPS：6.03</t>
    </r>
    <r>
      <rPr>
        <sz val="14"/>
        <color rgb="FFFFFFFF"/>
        <rFont val="Microsoft YaHei"/>
        <charset val="134"/>
      </rPr>
      <t xml:space="preserve">  高贵的蓝伤</t>
    </r>
  </si>
  <si>
    <r>
      <rPr>
        <sz val="14"/>
        <color rgb="FFCB2743"/>
        <rFont val="Microsoft YaHei"/>
        <charset val="134"/>
      </rPr>
      <t>0.6</t>
    </r>
    <r>
      <rPr>
        <sz val="14"/>
        <color rgb="FFEEECBF"/>
        <rFont val="Microsoft YaHei"/>
        <charset val="134"/>
      </rPr>
      <t xml:space="preserve"> 0.9 </t>
    </r>
    <r>
      <rPr>
        <sz val="14"/>
        <color rgb="FFA562AD"/>
        <rFont val="Microsoft YaHei"/>
        <charset val="134"/>
      </rPr>
      <t>0.9</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三色都不弱，高红抗</t>
    </r>
  </si>
  <si>
    <t>O-02-62</t>
  </si>
  <si>
    <r>
      <rPr>
        <u/>
        <sz val="14"/>
        <color rgb="FFFFFFFF"/>
        <rFont val="微软雅黑"/>
        <charset val="134"/>
      </rPr>
      <t>审判鸟</t>
    </r>
  </si>
  <si>
    <t>不难管，但是注意蓝伤，最好有盈泪套再去摸</t>
  </si>
  <si>
    <r>
      <rPr>
        <sz val="14"/>
        <color rgb="FF99DDFF"/>
        <rFont val="Microsoft YaHei"/>
        <charset val="134"/>
      </rPr>
      <t>DPS：8.63</t>
    </r>
    <r>
      <rPr>
        <sz val="14"/>
        <color rgb="FFFFFFFF"/>
        <rFont val="Microsoft YaHei"/>
        <charset val="134"/>
      </rPr>
      <t xml:space="preserve">  抬手慢，dps低，优点在于蓝伤</t>
    </r>
  </si>
  <si>
    <r>
      <rPr>
        <sz val="14"/>
        <color rgb="FFCB2743"/>
        <rFont val="Microsoft YaHei"/>
        <charset val="134"/>
      </rPr>
      <t>0.5</t>
    </r>
    <r>
      <rPr>
        <sz val="14"/>
        <color rgb="FFEEECBF"/>
        <rFont val="Microsoft YaHei"/>
        <charset val="134"/>
      </rPr>
      <t xml:space="preserve"> 0.5 </t>
    </r>
    <r>
      <rPr>
        <sz val="14"/>
        <color rgb="FFA562AD"/>
        <rFont val="Microsoft YaHei"/>
        <charset val="134"/>
      </rPr>
      <t>0.5</t>
    </r>
    <r>
      <rPr>
        <b/>
        <sz val="14"/>
        <color rgb="FFFFFFFF"/>
        <rFont val="Microsoft YaHei"/>
        <charset val="134"/>
      </rPr>
      <t xml:space="preserve"> </t>
    </r>
    <r>
      <rPr>
        <b/>
        <sz val="14"/>
        <color rgb="FF3FCDBD"/>
        <rFont val="Microsoft YaHei"/>
        <charset val="134"/>
      </rPr>
      <t>0.5</t>
    </r>
    <r>
      <rPr>
        <sz val="14"/>
        <color rgb="FF3FCDBD"/>
        <rFont val="Microsoft YaHei"/>
        <charset val="134"/>
      </rPr>
      <t xml:space="preserve"> </t>
    </r>
    <r>
      <rPr>
        <sz val="14"/>
        <color rgb="FFFFFFFF"/>
        <rFont val="Microsoft YaHei"/>
        <charset val="134"/>
      </rPr>
      <t>稀有的蓝抗甲，摸白夜用</t>
    </r>
  </si>
  <si>
    <t>O-02-63</t>
  </si>
  <si>
    <r>
      <rPr>
        <u/>
        <sz val="14"/>
        <color rgb="FFFFFFFF"/>
        <rFont val="微软雅黑"/>
        <charset val="134"/>
      </rPr>
      <t>终末鸟</t>
    </r>
  </si>
  <si>
    <r>
      <rPr>
        <b/>
        <sz val="20"/>
        <color rgb="FF70EF42"/>
        <rFont val="Microsoft YaHei"/>
        <charset val="134"/>
      </rPr>
      <t>极优</t>
    </r>
    <r>
      <rPr>
        <b/>
        <sz val="12"/>
        <color rgb="FF70EF42"/>
        <rFont val="Microsoft YaHei"/>
        <charset val="134"/>
      </rPr>
      <t xml:space="preserve">(A) </t>
    </r>
    <r>
      <rPr>
        <b/>
        <sz val="12"/>
        <color rgb="FF7F7F7F"/>
        <rFont val="Microsoft YaHei"/>
        <charset val="134"/>
      </rPr>
      <t>【一般(6)】</t>
    </r>
  </si>
  <si>
    <t>极优(A)</t>
  </si>
  <si>
    <r>
      <rPr>
        <b/>
        <sz val="14"/>
        <color rgb="FFC00000"/>
        <rFont val="Microsoft YaHei"/>
        <charset val="134"/>
      </rPr>
      <t>D</t>
    </r>
    <r>
      <rPr>
        <b/>
        <sz val="14"/>
        <color rgb="FFFFF9E3"/>
        <rFont val="Microsoft YaHei"/>
        <charset val="134"/>
      </rPr>
      <t>P</t>
    </r>
    <r>
      <rPr>
        <b/>
        <sz val="14"/>
        <color rgb="FFD58EFF"/>
        <rFont val="Microsoft YaHei"/>
        <charset val="134"/>
      </rPr>
      <t>S</t>
    </r>
    <r>
      <rPr>
        <b/>
        <sz val="14"/>
        <color rgb="FF99DDFF"/>
        <rFont val="Microsoft YaHei"/>
        <charset val="134"/>
      </rPr>
      <t>：</t>
    </r>
    <r>
      <rPr>
        <b/>
        <sz val="14"/>
        <color rgb="FF00B050"/>
        <rFont val="Microsoft YaHei"/>
        <charset val="134"/>
      </rPr>
      <t>34.04(68.08)</t>
    </r>
    <r>
      <rPr>
        <sz val="14"/>
        <color rgb="FFFFFFFF"/>
        <rFont val="Microsoft YaHei"/>
        <charset val="134"/>
      </rPr>
      <t xml:space="preserve">  混伤，适合给战神员工用</t>
    </r>
  </si>
  <si>
    <r>
      <rPr>
        <b/>
        <sz val="14"/>
        <color rgb="FFCB2743"/>
        <rFont val="Microsoft YaHei"/>
        <charset val="134"/>
      </rPr>
      <t>0.3</t>
    </r>
    <r>
      <rPr>
        <sz val="14"/>
        <color rgb="FFEEECBF"/>
        <rFont val="Microsoft YaHei"/>
        <charset val="134"/>
      </rPr>
      <t xml:space="preserve"> 0.3 </t>
    </r>
    <r>
      <rPr>
        <sz val="14"/>
        <color rgb="FFA562AD"/>
        <rFont val="Microsoft YaHei"/>
        <charset val="134"/>
      </rPr>
      <t>0.3</t>
    </r>
    <r>
      <rPr>
        <sz val="14"/>
        <color rgb="FFFFFFFF"/>
        <rFont val="Microsoft YaHei"/>
        <charset val="134"/>
      </rPr>
      <t xml:space="preserve"> </t>
    </r>
    <r>
      <rPr>
        <sz val="14"/>
        <color rgb="FF3FCDBD"/>
        <rFont val="Microsoft YaHei"/>
        <charset val="134"/>
      </rPr>
      <t xml:space="preserve">0.5 </t>
    </r>
    <r>
      <rPr>
        <sz val="14"/>
        <color rgb="FFFFFFFF"/>
        <rFont val="Microsoft YaHei"/>
        <charset val="134"/>
      </rPr>
      <t>适合给战神员工用</t>
    </r>
  </si>
  <si>
    <t>算三个A，不容易但是方便</t>
  </si>
  <si>
    <t>O-01-64</t>
  </si>
  <si>
    <r>
      <rPr>
        <u/>
        <sz val="14"/>
        <color rgb="FFFFFFFF"/>
        <rFont val="微软雅黑"/>
        <charset val="134"/>
      </rPr>
      <t>贪婪女王</t>
    </r>
  </si>
  <si>
    <r>
      <rPr>
        <b/>
        <sz val="20"/>
        <color rgb="FFF4F72E"/>
        <rFont val="Microsoft YaHei"/>
        <charset val="134"/>
      </rPr>
      <t>良</t>
    </r>
    <r>
      <rPr>
        <b/>
        <sz val="12"/>
        <color rgb="FFEB0E0B"/>
        <rFont val="Microsoft YaHei"/>
        <charset val="134"/>
      </rPr>
      <t xml:space="preserve">(A) </t>
    </r>
    <r>
      <rPr>
        <b/>
        <sz val="12"/>
        <color rgb="FF7F7F7F"/>
        <rFont val="Microsoft YaHei"/>
        <charset val="134"/>
      </rPr>
      <t>【极近(2)】</t>
    </r>
  </si>
  <si>
    <t>要求工作优，出逃比较麻烦</t>
  </si>
  <si>
    <r>
      <rPr>
        <b/>
        <sz val="14"/>
        <color rgb="FFC00000"/>
        <rFont val="Microsoft YaHei"/>
        <charset val="134"/>
      </rPr>
      <t xml:space="preserve">DPS：12.0(20.5)  </t>
    </r>
    <r>
      <rPr>
        <sz val="14"/>
        <color rgb="FFFFFFFF"/>
        <rFont val="Microsoft YaHei"/>
        <charset val="134"/>
      </rPr>
      <t>极近，有debuff，但伤害高</t>
    </r>
  </si>
  <si>
    <r>
      <rPr>
        <b/>
        <sz val="14"/>
        <color rgb="FFCB2743"/>
        <rFont val="Microsoft YaHei"/>
        <charset val="134"/>
      </rPr>
      <t>0.4</t>
    </r>
    <r>
      <rPr>
        <sz val="14"/>
        <color rgb="FFEEECBF"/>
        <rFont val="Microsoft YaHei"/>
        <charset val="134"/>
      </rPr>
      <t xml:space="preserve"> 0.7 </t>
    </r>
    <r>
      <rPr>
        <sz val="14"/>
        <color rgb="FFA562AD"/>
        <rFont val="Microsoft YaHei"/>
        <charset val="134"/>
      </rPr>
      <t>0.8</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红抗甲，三抗好蓝抗低</t>
    </r>
  </si>
  <si>
    <t>O-04-66</t>
  </si>
  <si>
    <r>
      <rPr>
        <u/>
        <sz val="14"/>
        <color rgb="FFFFFFFF"/>
        <rFont val="微软雅黑"/>
        <charset val="134"/>
      </rPr>
      <t>小王子</t>
    </r>
  </si>
  <si>
    <r>
      <rPr>
        <b/>
        <sz val="20"/>
        <color rgb="FF70EF42"/>
        <rFont val="Microsoft YaHei"/>
        <charset val="134"/>
      </rPr>
      <t>极优</t>
    </r>
    <r>
      <rPr>
        <b/>
        <sz val="12"/>
        <color rgb="FF8939FC"/>
        <rFont val="Microsoft YaHei"/>
        <charset val="134"/>
      </rPr>
      <t xml:space="preserve">(W) </t>
    </r>
    <r>
      <rPr>
        <b/>
        <sz val="12"/>
        <color rgb="FF7F7F7F"/>
        <rFont val="Microsoft YaHei"/>
        <charset val="134"/>
      </rPr>
      <t>【一般(4)】</t>
    </r>
  </si>
  <si>
    <r>
      <rPr>
        <b/>
        <sz val="20"/>
        <color rgb="FFF42C3E"/>
        <rFont val="Microsoft YaHei"/>
        <charset val="134"/>
      </rPr>
      <t>差</t>
    </r>
    <r>
      <rPr>
        <b/>
        <sz val="12"/>
        <color rgb="FF8939FC"/>
        <rFont val="Microsoft YaHei"/>
        <charset val="134"/>
      </rPr>
      <t>(W)</t>
    </r>
  </si>
  <si>
    <t>感染型，不好搞</t>
  </si>
  <si>
    <r>
      <rPr>
        <b/>
        <sz val="14"/>
        <color rgb="FFFFF9E3"/>
        <rFont val="Microsoft YaHei"/>
        <charset val="134"/>
      </rPr>
      <t>DPS：8.0</t>
    </r>
    <r>
      <rPr>
        <sz val="14"/>
        <color rgb="FFFFFFFF"/>
        <rFont val="Microsoft YaHei"/>
        <charset val="134"/>
      </rPr>
      <t xml:space="preserve">  白易伤，dps高</t>
    </r>
  </si>
  <si>
    <r>
      <rPr>
        <sz val="14"/>
        <color rgb="FFCB2743"/>
        <rFont val="Microsoft YaHei"/>
        <charset val="134"/>
      </rPr>
      <t>0.8</t>
    </r>
    <r>
      <rPr>
        <sz val="14"/>
        <color rgb="FFEEECBF"/>
        <rFont val="Microsoft YaHei"/>
        <charset val="134"/>
      </rPr>
      <t xml:space="preserve"> </t>
    </r>
    <r>
      <rPr>
        <b/>
        <sz val="14"/>
        <color rgb="FFEEECBF"/>
        <rFont val="Microsoft YaHei"/>
        <charset val="134"/>
      </rPr>
      <t>0.6</t>
    </r>
    <r>
      <rPr>
        <sz val="14"/>
        <color rgb="FFEEECBF"/>
        <rFont val="Microsoft YaHei"/>
        <charset val="134"/>
      </rPr>
      <t xml:space="preserve"> </t>
    </r>
    <r>
      <rPr>
        <sz val="14"/>
        <color rgb="FFA562AD"/>
        <rFont val="Microsoft YaHei"/>
        <charset val="134"/>
      </rPr>
      <t>1.2</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白抗甲，弱紫</t>
    </r>
  </si>
  <si>
    <t>O-01-67</t>
  </si>
  <si>
    <r>
      <rPr>
        <u/>
        <sz val="14"/>
        <color rgb="FFFFFFFF"/>
        <rFont val="微软雅黑"/>
        <charset val="134"/>
      </rPr>
      <t>蕾蒂希娅</t>
    </r>
  </si>
  <si>
    <r>
      <rPr>
        <b/>
        <sz val="20"/>
        <color rgb="FF70EF42"/>
        <rFont val="Microsoft YaHei"/>
        <charset val="134"/>
      </rPr>
      <t>极优</t>
    </r>
    <r>
      <rPr>
        <b/>
        <sz val="12"/>
        <color rgb="FFFFFF0B"/>
        <rFont val="Microsoft YaHei"/>
        <charset val="134"/>
      </rPr>
      <t xml:space="preserve">(H) </t>
    </r>
    <r>
      <rPr>
        <b/>
        <sz val="12"/>
        <color rgb="FF7F7F7F"/>
        <rFont val="Microsoft YaHei"/>
        <charset val="134"/>
      </rPr>
      <t>【极远(25)】</t>
    </r>
  </si>
  <si>
    <r>
      <rPr>
        <b/>
        <sz val="20"/>
        <color rgb="FF70EF42"/>
        <rFont val="微软雅黑"/>
        <charset val="134"/>
      </rPr>
      <t>优</t>
    </r>
    <r>
      <rPr>
        <b/>
        <sz val="12"/>
        <color rgb="FFFFFF0B"/>
        <rFont val="微软雅黑"/>
        <charset val="134"/>
      </rPr>
      <t>(H)</t>
    </r>
  </si>
  <si>
    <t>成功率高的话基本不会出良</t>
  </si>
  <si>
    <r>
      <rPr>
        <b/>
        <sz val="14"/>
        <color rgb="FFD58EFF"/>
        <rFont val="Microsoft YaHei"/>
        <charset val="134"/>
      </rPr>
      <t>DPS：5.5</t>
    </r>
    <r>
      <rPr>
        <b/>
        <sz val="14"/>
        <color rgb="FFFFFFFF"/>
        <rFont val="Microsoft YaHei"/>
        <charset val="134"/>
      </rPr>
      <t xml:space="preserve"> </t>
    </r>
    <r>
      <rPr>
        <sz val="14"/>
        <color rgb="FFFFFFFF"/>
        <rFont val="Microsoft YaHei"/>
        <charset val="134"/>
      </rPr>
      <t xml:space="preserve"> 来复枪模板都很好用</t>
    </r>
  </si>
  <si>
    <r>
      <rPr>
        <b/>
        <sz val="14"/>
        <color rgb="FFCB2743"/>
        <rFont val="Microsoft YaHei"/>
        <charset val="134"/>
      </rPr>
      <t>0.7</t>
    </r>
    <r>
      <rPr>
        <b/>
        <sz val="14"/>
        <color rgb="FFEEECBF"/>
        <rFont val="Microsoft YaHei"/>
        <charset val="134"/>
      </rPr>
      <t xml:space="preserve"> 0.7 </t>
    </r>
    <r>
      <rPr>
        <b/>
        <sz val="14"/>
        <color rgb="FFA562AD"/>
        <rFont val="Microsoft YaHei"/>
        <charset val="134"/>
      </rPr>
      <t>0.7</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H级均衡甲</t>
    </r>
  </si>
  <si>
    <t>T-01-68</t>
  </si>
  <si>
    <r>
      <rPr>
        <u/>
        <sz val="14"/>
        <color rgb="FFFFFFFF"/>
        <rFont val="微软雅黑"/>
        <charset val="134"/>
      </rPr>
      <t>亡蝶葬仪</t>
    </r>
  </si>
  <si>
    <r>
      <rPr>
        <b/>
        <sz val="20"/>
        <color rgb="FFF4F72E"/>
        <rFont val="Microsoft YaHei"/>
        <charset val="134"/>
      </rPr>
      <t>良</t>
    </r>
    <r>
      <rPr>
        <b/>
        <sz val="12"/>
        <color rgb="FF8939FC"/>
        <rFont val="Microsoft YaHei"/>
        <charset val="134"/>
      </rPr>
      <t xml:space="preserve">(W) </t>
    </r>
    <r>
      <rPr>
        <b/>
        <sz val="12"/>
        <color rgb="FF7F7F7F"/>
        <rFont val="Microsoft YaHei"/>
        <charset val="134"/>
      </rPr>
      <t>【远(10)】</t>
    </r>
  </si>
  <si>
    <t>容易出逃也容易镇压</t>
  </si>
  <si>
    <r>
      <rPr>
        <b/>
        <sz val="14"/>
        <color rgb="FFFFF9E3"/>
        <rFont val="Microsoft YaHei"/>
        <charset val="134"/>
      </rPr>
      <t>DPS：4</t>
    </r>
    <r>
      <rPr>
        <b/>
        <sz val="14"/>
        <color rgb="FFD58EFF"/>
        <rFont val="Microsoft YaHei"/>
        <charset val="134"/>
      </rPr>
      <t>+4</t>
    </r>
    <r>
      <rPr>
        <sz val="14"/>
        <color rgb="FFD58EFF"/>
        <rFont val="Microsoft YaHei"/>
        <charset val="134"/>
      </rPr>
      <t xml:space="preserve"> </t>
    </r>
    <r>
      <rPr>
        <sz val="14"/>
        <color rgb="FFFFFFFF"/>
        <rFont val="Microsoft YaHei"/>
        <charset val="134"/>
      </rPr>
      <t xml:space="preserve"> 混伤，再W级里比较一般</t>
    </r>
  </si>
  <si>
    <r>
      <rPr>
        <sz val="14"/>
        <color rgb="FFCB2743"/>
        <rFont val="Microsoft YaHei"/>
        <charset val="134"/>
      </rPr>
      <t>1.2</t>
    </r>
    <r>
      <rPr>
        <sz val="14"/>
        <color rgb="FFEEECBF"/>
        <rFont val="Microsoft YaHei"/>
        <charset val="134"/>
      </rPr>
      <t xml:space="preserve"> 0.8</t>
    </r>
    <r>
      <rPr>
        <b/>
        <sz val="14"/>
        <color rgb="FFEEECBF"/>
        <rFont val="Microsoft YaHei"/>
        <charset val="134"/>
      </rPr>
      <t xml:space="preserve"> </t>
    </r>
    <r>
      <rPr>
        <b/>
        <sz val="14"/>
        <color rgb="FFA562AD"/>
        <rFont val="Microsoft YaHei"/>
        <charset val="134"/>
      </rPr>
      <t>0.5</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紫抗甲，弱红</t>
    </r>
  </si>
  <si>
    <t>F-01-69</t>
  </si>
  <si>
    <r>
      <rPr>
        <u/>
        <sz val="14"/>
        <color rgb="FFFFFFFF"/>
        <rFont val="Microsoft YaHei"/>
        <charset val="134"/>
      </rPr>
      <t>魔弹射手</t>
    </r>
  </si>
  <si>
    <r>
      <rPr>
        <b/>
        <sz val="20"/>
        <color rgb="FF70EF42"/>
        <rFont val="Microsoft YaHei"/>
        <charset val="134"/>
      </rPr>
      <t>优</t>
    </r>
    <r>
      <rPr>
        <b/>
        <sz val="12"/>
        <color rgb="FF8939FC"/>
        <rFont val="Microsoft YaHei"/>
        <charset val="134"/>
      </rPr>
      <t xml:space="preserve">(W) </t>
    </r>
    <r>
      <rPr>
        <b/>
        <sz val="12"/>
        <color rgb="FF7F7F7F"/>
        <rFont val="Microsoft YaHei"/>
        <charset val="134"/>
      </rPr>
      <t>【极远(50)】</t>
    </r>
  </si>
  <si>
    <t>魔弹的枪清文职好用</t>
  </si>
  <si>
    <r>
      <rPr>
        <b/>
        <sz val="14"/>
        <color rgb="FFD58EFF"/>
        <rFont val="Microsoft YaHei"/>
        <charset val="134"/>
      </rPr>
      <t>DPS：9.0(10.3/11.6)</t>
    </r>
    <r>
      <rPr>
        <sz val="14"/>
        <color rgb="FFFFFFFF"/>
        <rFont val="Microsoft YaHei"/>
        <charset val="134"/>
      </rPr>
      <t xml:space="preserve">  很强的武器，缺点是有友伤</t>
    </r>
  </si>
  <si>
    <r>
      <rPr>
        <b/>
        <sz val="14"/>
        <color rgb="FFCB2743"/>
        <rFont val="Microsoft YaHei"/>
        <charset val="134"/>
      </rPr>
      <t>0.7</t>
    </r>
    <r>
      <rPr>
        <b/>
        <sz val="14"/>
        <color rgb="FFEEECBF"/>
        <rFont val="Microsoft YaHei"/>
        <charset val="134"/>
      </rPr>
      <t xml:space="preserve"> 0.7 </t>
    </r>
    <r>
      <rPr>
        <b/>
        <sz val="14"/>
        <color rgb="FFA562AD"/>
        <rFont val="Microsoft YaHei"/>
        <charset val="134"/>
      </rPr>
      <t>0.7</t>
    </r>
    <r>
      <rPr>
        <b/>
        <sz val="14"/>
        <color rgb="FFFFFFFF"/>
        <rFont val="Microsoft YaHei"/>
        <charset val="134"/>
      </rPr>
      <t xml:space="preserve"> </t>
    </r>
    <r>
      <rPr>
        <sz val="14"/>
        <color rgb="FF3FCDBD"/>
        <rFont val="Microsoft YaHei"/>
        <charset val="134"/>
      </rPr>
      <t xml:space="preserve">1.5 </t>
    </r>
    <r>
      <rPr>
        <sz val="14"/>
        <color rgb="FFFFFFFF"/>
        <rFont val="Microsoft YaHei"/>
        <charset val="134"/>
      </rPr>
      <t>H级均衡甲</t>
    </r>
  </si>
  <si>
    <t>F-02-70</t>
  </si>
  <si>
    <r>
      <rPr>
        <u/>
        <sz val="14"/>
        <color rgb="FFFFFFFF"/>
        <rFont val="微软雅黑"/>
        <charset val="134"/>
      </rPr>
      <t>黑天鹅之梦</t>
    </r>
  </si>
  <si>
    <t>不太会出逃的类型</t>
  </si>
  <si>
    <r>
      <rPr>
        <b/>
        <sz val="14"/>
        <color rgb="FFD58EFF"/>
        <rFont val="Microsoft YaHei"/>
        <charset val="134"/>
      </rPr>
      <t>DPS：7.97</t>
    </r>
    <r>
      <rPr>
        <sz val="14"/>
        <color rgb="FFFFFFFF"/>
        <rFont val="Microsoft YaHei"/>
        <charset val="134"/>
      </rPr>
      <t xml:space="preserve">  有反伤，但不实用，有时还有反作用</t>
    </r>
  </si>
  <si>
    <r>
      <rPr>
        <b/>
        <sz val="14"/>
        <color rgb="FFCB2743"/>
        <rFont val="Microsoft YaHei"/>
        <charset val="134"/>
      </rPr>
      <t>0.6</t>
    </r>
    <r>
      <rPr>
        <sz val="14"/>
        <color rgb="FFEEECBF"/>
        <rFont val="Microsoft YaHei"/>
        <charset val="134"/>
      </rPr>
      <t xml:space="preserve"> 1.2 </t>
    </r>
    <r>
      <rPr>
        <sz val="14"/>
        <color rgb="FFA562AD"/>
        <rFont val="Microsoft YaHei"/>
        <charset val="134"/>
      </rPr>
      <t>0.8</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红抗甲，弱白</t>
    </r>
  </si>
  <si>
    <t>T-02-71</t>
  </si>
  <si>
    <r>
      <rPr>
        <u/>
        <sz val="14"/>
        <color rgb="FFFFFFFF"/>
        <rFont val="微软雅黑"/>
        <charset val="134"/>
      </rPr>
      <t>梦中的洋流</t>
    </r>
  </si>
  <si>
    <r>
      <rPr>
        <b/>
        <sz val="20"/>
        <color rgb="FFF42C3E"/>
        <rFont val="Microsoft YaHei"/>
        <charset val="134"/>
      </rPr>
      <t>极差</t>
    </r>
    <r>
      <rPr>
        <b/>
        <sz val="11"/>
        <color rgb="FF8939FC"/>
        <rFont val="Microsoft YaHei"/>
        <charset val="134"/>
      </rPr>
      <t xml:space="preserve">(W) </t>
    </r>
    <r>
      <rPr>
        <b/>
        <sz val="11"/>
        <color rgb="FF7F7F7F"/>
        <rFont val="Microsoft YaHei"/>
        <charset val="134"/>
      </rPr>
      <t>【远(10)】</t>
    </r>
  </si>
  <si>
    <t>基本不会出逃</t>
  </si>
  <si>
    <r>
      <rPr>
        <sz val="14"/>
        <color rgb="FFFFF9E3"/>
        <rFont val="Microsoft YaHei"/>
        <charset val="134"/>
      </rPr>
      <t>DPS：3.6</t>
    </r>
    <r>
      <rPr>
        <sz val="14"/>
        <color rgb="FFFFFFFF"/>
        <rFont val="Microsoft YaHei"/>
        <charset val="134"/>
      </rPr>
      <t xml:space="preserve">  dps过低，远距离高攻速都救不了</t>
    </r>
  </si>
  <si>
    <r>
      <rPr>
        <b/>
        <sz val="14"/>
        <color rgb="FFCB2743"/>
        <rFont val="Microsoft YaHei"/>
        <charset val="134"/>
      </rPr>
      <t>0.8</t>
    </r>
    <r>
      <rPr>
        <b/>
        <sz val="14"/>
        <color rgb="FFEEECBF"/>
        <rFont val="Microsoft YaHei"/>
        <charset val="134"/>
      </rPr>
      <t xml:space="preserve"> 0.8 </t>
    </r>
    <r>
      <rPr>
        <b/>
        <sz val="14"/>
        <color rgb="FFA562AD"/>
        <rFont val="Microsoft YaHei"/>
        <charset val="134"/>
      </rPr>
      <t>0.8</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不太行的均衡甲</t>
    </r>
  </si>
  <si>
    <t>不容易出来,也不容易镇压</t>
  </si>
  <si>
    <t>O-04-72</t>
  </si>
  <si>
    <r>
      <rPr>
        <u/>
        <sz val="14"/>
        <color rgb="FFFFFFFF"/>
        <rFont val="微软雅黑"/>
        <charset val="134"/>
      </rPr>
      <t>穿刺乐园</t>
    </r>
  </si>
  <si>
    <r>
      <rPr>
        <b/>
        <sz val="20"/>
        <color rgb="FFF4F72E"/>
        <rFont val="Microsoft YaHei"/>
        <charset val="134"/>
      </rPr>
      <t>良</t>
    </r>
    <r>
      <rPr>
        <b/>
        <sz val="12"/>
        <color rgb="FF8939FC"/>
        <rFont val="Microsoft YaHei"/>
        <charset val="134"/>
      </rPr>
      <t xml:space="preserve">(W) </t>
    </r>
    <r>
      <rPr>
        <b/>
        <sz val="12"/>
        <color rgb="FF7F7F7F"/>
        <rFont val="Microsoft YaHei"/>
        <charset val="134"/>
      </rPr>
      <t>【一般(4)】</t>
    </r>
  </si>
  <si>
    <t>要一直盯着看，不是很推荐</t>
  </si>
  <si>
    <r>
      <rPr>
        <b/>
        <sz val="14"/>
        <color rgb="FFC00000"/>
        <rFont val="Microsoft YaHei"/>
        <charset val="134"/>
      </rPr>
      <t>DPS：8.0</t>
    </r>
    <r>
      <rPr>
        <sz val="14"/>
        <color rgb="FFFFFFFF"/>
        <rFont val="Microsoft YaHei"/>
        <charset val="134"/>
      </rPr>
      <t xml:space="preserve">  dps还可以</t>
    </r>
  </si>
  <si>
    <r>
      <rPr>
        <sz val="14"/>
        <color rgb="FFCB2743"/>
        <rFont val="Microsoft YaHei"/>
        <charset val="134"/>
      </rPr>
      <t>1.2</t>
    </r>
    <r>
      <rPr>
        <sz val="14"/>
        <color rgb="FFEEECBF"/>
        <rFont val="Microsoft YaHei"/>
        <charset val="134"/>
      </rPr>
      <t xml:space="preserve"> 0.8 </t>
    </r>
    <r>
      <rPr>
        <b/>
        <sz val="14"/>
        <color rgb="FFA562AD"/>
        <rFont val="Microsoft YaHei"/>
        <charset val="134"/>
      </rPr>
      <t>0.6</t>
    </r>
    <r>
      <rPr>
        <b/>
        <sz val="14"/>
        <color rgb="FFFFFFFF"/>
        <rFont val="Microsoft YaHei"/>
        <charset val="134"/>
      </rPr>
      <t xml:space="preserve"> </t>
    </r>
    <r>
      <rPr>
        <sz val="14"/>
        <color rgb="FF3FCDBD"/>
        <rFont val="Microsoft YaHei"/>
        <charset val="134"/>
      </rPr>
      <t xml:space="preserve">1.5 </t>
    </r>
    <r>
      <rPr>
        <sz val="14"/>
        <color rgb="FFFFFFFF"/>
        <rFont val="Microsoft YaHei"/>
        <charset val="134"/>
      </rPr>
      <t>紫抗甲，弱红</t>
    </r>
  </si>
  <si>
    <t>非融毁出来需要献祭，容易镇压</t>
  </si>
  <si>
    <t>O-01-73</t>
  </si>
  <si>
    <r>
      <rPr>
        <u/>
        <sz val="14"/>
        <color rgb="FFFFFFFF"/>
        <rFont val="微软雅黑"/>
        <charset val="134"/>
      </rPr>
      <t>绝望骑士</t>
    </r>
  </si>
  <si>
    <r>
      <rPr>
        <b/>
        <sz val="20"/>
        <color rgb="FF70EF42"/>
        <rFont val="Microsoft YaHei"/>
        <charset val="134"/>
      </rPr>
      <t>优</t>
    </r>
    <r>
      <rPr>
        <b/>
        <sz val="12"/>
        <color rgb="FF8939FC"/>
        <rFont val="Microsoft YaHei"/>
        <charset val="134"/>
      </rPr>
      <t xml:space="preserve">(W) </t>
    </r>
    <r>
      <rPr>
        <b/>
        <sz val="12"/>
        <color rgb="FF7F7F7F"/>
        <rFont val="Microsoft YaHei"/>
        <charset val="134"/>
      </rPr>
      <t>【一般(4)】</t>
    </r>
  </si>
  <si>
    <t>可以给员工上buff</t>
  </si>
  <si>
    <r>
      <rPr>
        <b/>
        <sz val="14"/>
        <color rgb="FFFFFFFF"/>
        <rFont val="Microsoft YaHei"/>
        <charset val="134"/>
      </rPr>
      <t>DPS：9.5</t>
    </r>
    <r>
      <rPr>
        <sz val="14"/>
        <color rgb="FFFFFFFF"/>
        <rFont val="Microsoft YaHei"/>
        <charset val="134"/>
      </rPr>
      <t xml:space="preserve">  不吃攻速，前期员工正义低时dps很高
员工正义高了建议换掉</t>
    </r>
  </si>
  <si>
    <r>
      <rPr>
        <sz val="14"/>
        <color rgb="FFCB2743"/>
        <rFont val="Microsoft YaHei"/>
        <charset val="134"/>
      </rPr>
      <t>0.8</t>
    </r>
    <r>
      <rPr>
        <sz val="14"/>
        <color rgb="FFEEECBF"/>
        <rFont val="Microsoft YaHei"/>
        <charset val="134"/>
      </rPr>
      <t xml:space="preserve"> 0.8 </t>
    </r>
    <r>
      <rPr>
        <sz val="14"/>
        <color rgb="FFA562AD"/>
        <rFont val="Microsoft YaHei"/>
        <charset val="134"/>
      </rPr>
      <t>0.8</t>
    </r>
    <r>
      <rPr>
        <sz val="14"/>
        <color rgb="FFFFFFFF"/>
        <rFont val="Microsoft YaHei"/>
        <charset val="134"/>
      </rPr>
      <t xml:space="preserve"> </t>
    </r>
    <r>
      <rPr>
        <b/>
        <sz val="14"/>
        <color rgb="FF3FCDBD"/>
        <rFont val="Microsoft YaHei"/>
        <charset val="134"/>
      </rPr>
      <t>0.8</t>
    </r>
    <r>
      <rPr>
        <sz val="14"/>
        <color rgb="FF3FCDBD"/>
        <rFont val="Microsoft YaHei"/>
        <charset val="134"/>
      </rPr>
      <t xml:space="preserve"> </t>
    </r>
    <r>
      <rPr>
        <sz val="14"/>
        <color rgb="FFFFFFFF"/>
        <rFont val="Microsoft YaHei"/>
        <charset val="134"/>
      </rPr>
      <t>蓝抗甲，摸高鸟用</t>
    </r>
  </si>
  <si>
    <t>不容易镇压 , 也不建议镇压</t>
  </si>
  <si>
    <t>O-02-74</t>
  </si>
  <si>
    <r>
      <rPr>
        <u/>
        <sz val="14"/>
        <color rgb="FFFFFFFF"/>
        <rFont val="微软雅黑"/>
        <charset val="134"/>
      </rPr>
      <t>裸巢</t>
    </r>
  </si>
  <si>
    <r>
      <rPr>
        <b/>
        <sz val="20"/>
        <color rgb="FF70EF42"/>
        <rFont val="Microsoft YaHei"/>
        <charset val="134"/>
      </rPr>
      <t>极优</t>
    </r>
    <r>
      <rPr>
        <b/>
        <sz val="12"/>
        <color rgb="FF8939FC"/>
        <rFont val="Microsoft YaHei"/>
        <charset val="134"/>
      </rPr>
      <t xml:space="preserve">(W) </t>
    </r>
    <r>
      <rPr>
        <b/>
        <sz val="12"/>
        <color rgb="FF7F7F7F"/>
        <rFont val="Microsoft YaHei"/>
        <charset val="134"/>
      </rPr>
      <t>【远(15)】</t>
    </r>
  </si>
  <si>
    <t>感染型，属性红抗够了基本不会感染</t>
  </si>
  <si>
    <r>
      <rPr>
        <b/>
        <sz val="14"/>
        <color rgb="FFC00000"/>
        <rFont val="Microsoft YaHei"/>
        <charset val="134"/>
      </rPr>
      <t xml:space="preserve">DPS：8.5 </t>
    </r>
    <r>
      <rPr>
        <sz val="14"/>
        <color rgb="FFFFFFFF"/>
        <rFont val="Microsoft YaHei"/>
        <charset val="134"/>
      </rPr>
      <t xml:space="preserve"> 红易伤，dps凑合</t>
    </r>
  </si>
  <si>
    <r>
      <rPr>
        <b/>
        <sz val="14"/>
        <color rgb="FFCB2743"/>
        <rFont val="Microsoft YaHei"/>
        <charset val="134"/>
      </rPr>
      <t>0.6</t>
    </r>
    <r>
      <rPr>
        <b/>
        <sz val="14"/>
        <color rgb="FFEEECBF"/>
        <rFont val="Microsoft YaHei"/>
        <charset val="134"/>
      </rPr>
      <t xml:space="preserve"> </t>
    </r>
    <r>
      <rPr>
        <sz val="14"/>
        <color rgb="FFEEECBF"/>
        <rFont val="Microsoft YaHei"/>
        <charset val="134"/>
      </rPr>
      <t xml:space="preserve">0.8 </t>
    </r>
    <r>
      <rPr>
        <sz val="14"/>
        <color rgb="FFA562AD"/>
        <rFont val="Microsoft YaHei"/>
        <charset val="134"/>
      </rPr>
      <t>1.2</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红抗甲，弱紫</t>
    </r>
  </si>
  <si>
    <t>T-01-75</t>
  </si>
  <si>
    <r>
      <rPr>
        <u/>
        <sz val="14"/>
        <color rgb="FFFFFFFF"/>
        <rFont val="微软雅黑"/>
        <charset val="134"/>
      </rPr>
      <t>微笑的尸山</t>
    </r>
  </si>
  <si>
    <r>
      <rPr>
        <b/>
        <sz val="20"/>
        <color rgb="FF70EF42"/>
        <rFont val="Microsoft YaHei"/>
        <charset val="134"/>
      </rPr>
      <t>优</t>
    </r>
    <r>
      <rPr>
        <b/>
        <sz val="14"/>
        <color rgb="FFEB0E0B"/>
        <rFont val="Microsoft YaHei"/>
        <charset val="134"/>
      </rPr>
      <t xml:space="preserve">(A) </t>
    </r>
    <r>
      <rPr>
        <b/>
        <sz val="12"/>
        <color rgb="FF7F7F7F"/>
        <rFont val="Microsoft YaHei"/>
        <charset val="134"/>
      </rPr>
      <t>【一般(5)】</t>
    </r>
  </si>
  <si>
    <t>文保协，出逃基本一个拟态就能揍回去</t>
  </si>
  <si>
    <r>
      <rPr>
        <b/>
        <sz val="14"/>
        <color rgb="FFA562AD"/>
        <rFont val="Microsoft YaHei"/>
        <charset val="134"/>
      </rPr>
      <t>DPS：17.82</t>
    </r>
    <r>
      <rPr>
        <sz val="14"/>
        <color rgb="FFA562AD"/>
        <rFont val="Microsoft YaHei"/>
        <charset val="134"/>
      </rPr>
      <t xml:space="preserve"> </t>
    </r>
    <r>
      <rPr>
        <sz val="14"/>
        <color rgb="FFFFFFFF"/>
        <rFont val="Microsoft YaHei"/>
        <charset val="134"/>
      </rPr>
      <t xml:space="preserve"> 高伤，还可以减移速</t>
    </r>
  </si>
  <si>
    <r>
      <rPr>
        <sz val="14"/>
        <color rgb="FFCB2743"/>
        <rFont val="Microsoft YaHei"/>
        <charset val="134"/>
      </rPr>
      <t>0.5</t>
    </r>
    <r>
      <rPr>
        <sz val="14"/>
        <color rgb="FFEEECBF"/>
        <rFont val="Microsoft YaHei"/>
        <charset val="134"/>
      </rPr>
      <t xml:space="preserve"> 0.5 </t>
    </r>
    <r>
      <rPr>
        <b/>
        <sz val="14"/>
        <color rgb="FFA562AD"/>
        <rFont val="Microsoft YaHei"/>
        <charset val="134"/>
      </rPr>
      <t>0.2</t>
    </r>
    <r>
      <rPr>
        <sz val="14"/>
        <color rgb="FFFFFFFF"/>
        <rFont val="Microsoft YaHei"/>
        <charset val="134"/>
      </rPr>
      <t xml:space="preserve"> </t>
    </r>
    <r>
      <rPr>
        <sz val="14"/>
        <color rgb="FF3FCDBD"/>
        <rFont val="Microsoft YaHei"/>
        <charset val="134"/>
      </rPr>
      <t xml:space="preserve">1.0 </t>
    </r>
    <r>
      <rPr>
        <sz val="14"/>
        <color rgb="FFFFFFFF"/>
        <rFont val="Microsoft YaHei"/>
        <charset val="134"/>
      </rPr>
      <t>紫抗特化甲，还可以清尸体</t>
    </r>
  </si>
  <si>
    <t>容易镇压（一阶段）</t>
  </si>
  <si>
    <t>O-05-76</t>
  </si>
  <si>
    <r>
      <rPr>
        <u/>
        <sz val="14"/>
        <color rgb="FFFFFFFF"/>
        <rFont val="微软雅黑"/>
        <charset val="134"/>
      </rPr>
      <t>幸灾乐祸</t>
    </r>
  </si>
  <si>
    <t>不能看，比较难处理</t>
  </si>
  <si>
    <r>
      <rPr>
        <b/>
        <sz val="14"/>
        <color rgb="FFC00000"/>
        <rFont val="Microsoft YaHei"/>
        <charset val="134"/>
      </rPr>
      <t>DPS：7.76+2</t>
    </r>
    <r>
      <rPr>
        <sz val="14"/>
        <color rgb="FFFFFFFF"/>
        <rFont val="Microsoft YaHei"/>
        <charset val="134"/>
      </rPr>
      <t xml:space="preserve">  H战神，伤害极高</t>
    </r>
  </si>
  <si>
    <r>
      <rPr>
        <sz val="14"/>
        <color rgb="FFFFFFFF"/>
        <rFont val="Microsoft YaHei"/>
        <charset val="134"/>
      </rPr>
      <t>视野外：</t>
    </r>
    <r>
      <rPr>
        <sz val="14"/>
        <color rgb="FFCB2743"/>
        <rFont val="Microsoft YaHei"/>
        <charset val="134"/>
      </rPr>
      <t>1.0</t>
    </r>
    <r>
      <rPr>
        <sz val="14"/>
        <color rgb="FFEEECBF"/>
        <rFont val="Microsoft YaHei"/>
        <charset val="134"/>
      </rPr>
      <t xml:space="preserve"> </t>
    </r>
    <r>
      <rPr>
        <b/>
        <sz val="14"/>
        <color rgb="FFEEECBF"/>
        <rFont val="Microsoft YaHei"/>
        <charset val="134"/>
      </rPr>
      <t>0.8</t>
    </r>
    <r>
      <rPr>
        <sz val="14"/>
        <color rgb="FFEEECBF"/>
        <rFont val="Microsoft YaHei"/>
        <charset val="134"/>
      </rPr>
      <t xml:space="preserve"> </t>
    </r>
    <r>
      <rPr>
        <sz val="14"/>
        <color rgb="FFA562AD"/>
        <rFont val="Microsoft YaHei"/>
        <charset val="134"/>
      </rPr>
      <t>1.0</t>
    </r>
    <r>
      <rPr>
        <sz val="14"/>
        <color rgb="FFFFFFFF"/>
        <rFont val="Microsoft YaHei"/>
        <charset val="134"/>
      </rPr>
      <t xml:space="preserve"> </t>
    </r>
    <r>
      <rPr>
        <sz val="14"/>
        <color rgb="FF3FCDBD"/>
        <rFont val="Microsoft YaHei"/>
        <charset val="134"/>
      </rPr>
      <t>1.5</t>
    </r>
    <r>
      <rPr>
        <sz val="14"/>
        <color rgb="FFFFFFFF"/>
        <rFont val="Microsoft YaHei"/>
        <charset val="134"/>
      </rPr>
      <t xml:space="preserve">
视野内：</t>
    </r>
    <r>
      <rPr>
        <sz val="14"/>
        <color rgb="FFCB2743"/>
        <rFont val="Microsoft YaHei"/>
        <charset val="134"/>
      </rPr>
      <t>0.8</t>
    </r>
    <r>
      <rPr>
        <sz val="14"/>
        <color rgb="FF3FCDBD"/>
        <rFont val="Microsoft YaHei"/>
        <charset val="134"/>
      </rPr>
      <t xml:space="preserve"> </t>
    </r>
    <r>
      <rPr>
        <b/>
        <sz val="14"/>
        <color rgb="FFEEECBF"/>
        <rFont val="Microsoft YaHei"/>
        <charset val="134"/>
      </rPr>
      <t>0.5</t>
    </r>
    <r>
      <rPr>
        <sz val="14"/>
        <color rgb="FF3FCDBD"/>
        <rFont val="Microsoft YaHei"/>
        <charset val="134"/>
      </rPr>
      <t xml:space="preserve"> </t>
    </r>
    <r>
      <rPr>
        <sz val="14"/>
        <color rgb="FFA562AD"/>
        <rFont val="Microsoft YaHei"/>
        <charset val="134"/>
      </rPr>
      <t>0.8</t>
    </r>
    <r>
      <rPr>
        <sz val="14"/>
        <color rgb="FF3FCDBD"/>
        <rFont val="Microsoft YaHei"/>
        <charset val="134"/>
      </rPr>
      <t xml:space="preserve"> 1.5</t>
    </r>
    <r>
      <rPr>
        <sz val="14"/>
        <color rgb="FFFFFFFF"/>
        <rFont val="Microsoft YaHei"/>
        <charset val="134"/>
      </rPr>
      <t xml:space="preserve">
视野内就是w属性，还加正义</t>
    </r>
  </si>
  <si>
    <t>T-09-77</t>
  </si>
  <si>
    <r>
      <rPr>
        <u/>
        <sz val="14"/>
        <color rgb="FFFFFFFF"/>
        <rFont val="微软雅黑"/>
        <charset val="134"/>
      </rPr>
      <t>渴望之心</t>
    </r>
  </si>
  <si>
    <t>每天领一次，省事好用</t>
  </si>
  <si>
    <t>T-09-78</t>
  </si>
  <si>
    <r>
      <rPr>
        <u/>
        <sz val="14"/>
        <color rgb="FFFFFFFF"/>
        <rFont val="微软雅黑"/>
        <charset val="134"/>
      </rPr>
      <t>癫狂研究员的笔记本</t>
    </r>
  </si>
  <si>
    <t>一般，前期自律低可以用用</t>
  </si>
  <si>
    <t>T-09-79</t>
  </si>
  <si>
    <r>
      <rPr>
        <u/>
        <sz val="14"/>
        <color rgb="FFFFFFFF"/>
        <rFont val="微软雅黑"/>
        <charset val="134"/>
      </rPr>
      <t>血肉偶像</t>
    </r>
  </si>
  <si>
    <t>进去需要过一段时间再出来，容易鱼脑</t>
  </si>
  <si>
    <t>T-09-80</t>
  </si>
  <si>
    <r>
      <rPr>
        <u/>
        <sz val="14"/>
        <color rgb="FFFFFFFF"/>
        <rFont val="微软雅黑"/>
        <charset val="134"/>
      </rPr>
      <t>巨树汁液</t>
    </r>
  </si>
  <si>
    <t>容易喝死人，别碰就行</t>
  </si>
  <si>
    <t>O-09-81</t>
  </si>
  <si>
    <r>
      <rPr>
        <u/>
        <sz val="14"/>
        <color rgb="FFFFFFFF"/>
        <rFont val="微软雅黑"/>
        <charset val="134"/>
      </rPr>
      <t>转性魔镜</t>
    </r>
  </si>
  <si>
    <t>给员工平衡属性，挺不错的</t>
  </si>
  <si>
    <t>T-09-82</t>
  </si>
  <si>
    <r>
      <rPr>
        <u/>
        <sz val="14"/>
        <color rgb="FFFFFFFF"/>
        <rFont val="微软雅黑"/>
        <charset val="134"/>
      </rPr>
      <t>3月27日的避难所</t>
    </r>
  </si>
  <si>
    <t>可以收容一个，打惩戒部可以逃课</t>
  </si>
  <si>
    <t>F-04-83</t>
  </si>
  <si>
    <r>
      <rPr>
        <u/>
        <sz val="14"/>
        <color rgb="FFFFFFFF"/>
        <rFont val="微软雅黑"/>
        <charset val="134"/>
      </rPr>
      <t>精灵盛宴</t>
    </r>
  </si>
  <si>
    <r>
      <rPr>
        <b/>
        <sz val="20"/>
        <color rgb="FFF4F72E"/>
        <rFont val="Microsoft YaHei"/>
        <charset val="134"/>
      </rPr>
      <t>良</t>
    </r>
    <r>
      <rPr>
        <b/>
        <sz val="12"/>
        <color rgb="FF24FD06"/>
        <rFont val="Microsoft YaHei"/>
        <charset val="134"/>
      </rPr>
      <t xml:space="preserve">(Z) </t>
    </r>
    <r>
      <rPr>
        <b/>
        <sz val="12"/>
        <color rgb="FF7F7F7F"/>
        <rFont val="Microsoft YaHei"/>
        <charset val="134"/>
      </rPr>
      <t>【短(3)】</t>
    </r>
  </si>
  <si>
    <t>机制死，稍微注意一下就行</t>
  </si>
  <si>
    <r>
      <rPr>
        <b/>
        <sz val="14"/>
        <color rgb="FFC00000"/>
        <rFont val="Microsoft YaHei"/>
        <charset val="134"/>
      </rPr>
      <t>DPS：3.0</t>
    </r>
    <r>
      <rPr>
        <sz val="14"/>
        <color rgb="FFFFFFFF"/>
        <rFont val="Microsoft YaHei"/>
        <charset val="134"/>
      </rPr>
      <t xml:space="preserve">  z级尽早淘汰</t>
    </r>
  </si>
  <si>
    <r>
      <rPr>
        <sz val="14"/>
        <color rgb="FFCB2743"/>
        <rFont val="Microsoft YaHei"/>
        <charset val="134"/>
      </rPr>
      <t>0.8</t>
    </r>
    <r>
      <rPr>
        <sz val="14"/>
        <color rgb="FFEEECBF"/>
        <rFont val="Microsoft YaHei"/>
        <charset val="134"/>
      </rPr>
      <t xml:space="preserve"> 0.8 </t>
    </r>
    <r>
      <rPr>
        <sz val="14"/>
        <color rgb="FFA562AD"/>
        <rFont val="Microsoft YaHei"/>
        <charset val="134"/>
      </rPr>
      <t>1.0</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z级前期过度用</t>
    </r>
  </si>
  <si>
    <t>O-04-84</t>
  </si>
  <si>
    <r>
      <rPr>
        <u/>
        <sz val="14"/>
        <color rgb="FFFFFFFF"/>
        <rFont val="微软雅黑"/>
        <charset val="134"/>
      </rPr>
      <t>陆生</t>
    </r>
  </si>
  <si>
    <r>
      <rPr>
        <b/>
        <sz val="20"/>
        <color rgb="FFF4F72E"/>
        <rFont val="Microsoft YaHei"/>
        <charset val="134"/>
      </rPr>
      <t>良</t>
    </r>
    <r>
      <rPr>
        <b/>
        <sz val="12"/>
        <color rgb="FF21AEFF"/>
        <rFont val="Microsoft YaHei"/>
        <charset val="134"/>
      </rPr>
      <t xml:space="preserve">(T) </t>
    </r>
    <r>
      <rPr>
        <b/>
        <sz val="12"/>
        <color rgb="FF7F7F7F"/>
        <rFont val="Microsoft YaHei"/>
        <charset val="134"/>
      </rPr>
      <t>【一般(5)】</t>
    </r>
  </si>
  <si>
    <t>要求工作时间&gt;40s，得找专职保姆</t>
  </si>
  <si>
    <r>
      <rPr>
        <b/>
        <sz val="14"/>
        <color rgb="FFD58EFF"/>
        <rFont val="Microsoft YaHei"/>
        <charset val="134"/>
      </rPr>
      <t>DPS：5.0</t>
    </r>
    <r>
      <rPr>
        <sz val="14"/>
        <color rgb="FFFFFFFF"/>
        <rFont val="Microsoft YaHei"/>
        <charset val="134"/>
      </rPr>
      <t xml:space="preserve">  一般，抬手慢</t>
    </r>
  </si>
  <si>
    <r>
      <rPr>
        <sz val="14"/>
        <color rgb="FFCB2743"/>
        <rFont val="Microsoft YaHei"/>
        <charset val="134"/>
      </rPr>
      <t>0.8</t>
    </r>
    <r>
      <rPr>
        <sz val="14"/>
        <color rgb="FFEEECBF"/>
        <rFont val="Microsoft YaHei"/>
        <charset val="134"/>
      </rPr>
      <t xml:space="preserve"> </t>
    </r>
    <r>
      <rPr>
        <b/>
        <sz val="14"/>
        <color rgb="FFEEECBF"/>
        <rFont val="Microsoft YaHei"/>
        <charset val="134"/>
      </rPr>
      <t xml:space="preserve">0.7 </t>
    </r>
    <r>
      <rPr>
        <sz val="14"/>
        <color rgb="FFA562AD"/>
        <rFont val="Microsoft YaHei"/>
        <charset val="134"/>
      </rPr>
      <t>1.2</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红白甲，弱紫，前期不错</t>
    </r>
  </si>
  <si>
    <t>容易镇压，但得注意一点</t>
  </si>
  <si>
    <t>T-09-85</t>
  </si>
  <si>
    <r>
      <rPr>
        <u/>
        <sz val="14"/>
        <color rgb="FFFFFFFF"/>
        <rFont val="微软雅黑"/>
        <charset val="134"/>
      </rPr>
      <t>我们可以改变一切</t>
    </r>
  </si>
  <si>
    <t>一般不会拿它发电，放着也没事</t>
  </si>
  <si>
    <t>T-09-86</t>
  </si>
  <si>
    <r>
      <rPr>
        <u/>
        <sz val="14"/>
        <color rgb="FFFFFFFF"/>
        <rFont val="微软雅黑"/>
        <charset val="134"/>
      </rPr>
      <t>黄泉列车</t>
    </r>
  </si>
  <si>
    <t>最难管的工具异想体，不推荐</t>
  </si>
  <si>
    <t>F-01-87</t>
  </si>
  <si>
    <r>
      <rPr>
        <u/>
        <sz val="14"/>
        <color rgb="FFFFFFFF"/>
        <rFont val="微软雅黑"/>
        <charset val="134"/>
      </rPr>
      <t>索求智慧的稻草人</t>
    </r>
  </si>
  <si>
    <t>需要工作优，前期比较难打，后期随便镇压</t>
  </si>
  <si>
    <r>
      <rPr>
        <b/>
        <sz val="14"/>
        <color rgb="FFD58EFF"/>
        <rFont val="Microsoft YaHei"/>
        <charset val="134"/>
      </rPr>
      <t xml:space="preserve">DPS：6.0 </t>
    </r>
    <r>
      <rPr>
        <sz val="14"/>
        <color rgb="FFFFFFFF"/>
        <rFont val="Microsoft YaHei"/>
        <charset val="134"/>
      </rPr>
      <t xml:space="preserve"> 一般武器</t>
    </r>
  </si>
  <si>
    <r>
      <rPr>
        <sz val="14"/>
        <color rgb="FFCB2743"/>
        <rFont val="Microsoft YaHei"/>
        <charset val="134"/>
      </rPr>
      <t>0.6</t>
    </r>
    <r>
      <rPr>
        <sz val="14"/>
        <color rgb="FFEEECBF"/>
        <rFont val="Microsoft YaHei"/>
        <charset val="134"/>
      </rPr>
      <t xml:space="preserve"> 0.8 </t>
    </r>
    <r>
      <rPr>
        <sz val="14"/>
        <color rgb="FFA562AD"/>
        <rFont val="Microsoft YaHei"/>
        <charset val="134"/>
      </rPr>
      <t>1.3</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红抗甲，弱紫</t>
    </r>
  </si>
  <si>
    <t>O-03-88</t>
  </si>
  <si>
    <r>
      <rPr>
        <u/>
        <sz val="14"/>
        <color rgb="FFFFFFFF"/>
        <rFont val="微软雅黑"/>
        <charset val="134"/>
      </rPr>
      <t>次元衍射变体</t>
    </r>
  </si>
  <si>
    <t>不容易出逃，好管</t>
  </si>
  <si>
    <r>
      <rPr>
        <sz val="14"/>
        <color rgb="FFFFF9E3"/>
        <rFont val="Microsoft YaHei"/>
        <charset val="134"/>
      </rPr>
      <t>DPS：8.0</t>
    </r>
    <r>
      <rPr>
        <sz val="14"/>
        <color rgb="FFFFFFFF"/>
        <rFont val="Microsoft YaHei"/>
        <charset val="134"/>
      </rPr>
      <t xml:space="preserve">  dps不错的武器，距离较近</t>
    </r>
  </si>
  <si>
    <t>O-03-89</t>
  </si>
  <si>
    <r>
      <rPr>
        <u/>
        <sz val="14"/>
        <color rgb="FFFFFFFF"/>
        <rFont val="微软雅黑"/>
        <charset val="134"/>
      </rPr>
      <t>“CENSORED”</t>
    </r>
  </si>
  <si>
    <r>
      <rPr>
        <b/>
        <sz val="20"/>
        <color rgb="FF70EF42"/>
        <rFont val="Microsoft YaHei"/>
        <charset val="134"/>
      </rPr>
      <t>优</t>
    </r>
    <r>
      <rPr>
        <b/>
        <sz val="14"/>
        <color rgb="FFEB0E0B"/>
        <rFont val="Microsoft YaHei"/>
        <charset val="134"/>
      </rPr>
      <t xml:space="preserve">(A) </t>
    </r>
    <r>
      <rPr>
        <b/>
        <sz val="12"/>
        <color rgb="FF7F7F7F"/>
        <rFont val="Microsoft YaHei"/>
        <charset val="134"/>
      </rPr>
      <t>【近(3)】</t>
    </r>
  </si>
  <si>
    <t>属性够了基本不会减计数器，还算乖</t>
  </si>
  <si>
    <r>
      <rPr>
        <sz val="14"/>
        <color rgb="FFD58EFF"/>
        <rFont val="Microsoft YaHei"/>
        <charset val="134"/>
      </rPr>
      <t>DPS：13.9</t>
    </r>
    <r>
      <rPr>
        <sz val="14"/>
        <color rgb="FFFFFFFF"/>
        <rFont val="Microsoft YaHei"/>
        <charset val="134"/>
      </rPr>
      <t>dps一般，受到伤害会回血，功能性很高</t>
    </r>
  </si>
  <si>
    <t>T-09-90</t>
  </si>
  <si>
    <r>
      <rPr>
        <u/>
        <sz val="14"/>
        <color rgb="FFFFFFFF"/>
        <rFont val="微软雅黑"/>
        <charset val="134"/>
      </rPr>
      <t>人皮启示录</t>
    </r>
  </si>
  <si>
    <t>可以加精神值，方便早期模数删</t>
  </si>
  <si>
    <t>O-09-91</t>
  </si>
  <si>
    <r>
      <rPr>
        <u/>
        <sz val="14"/>
        <color rgb="FFFFFFFF"/>
        <rFont val="微软雅黑"/>
        <charset val="134"/>
      </rPr>
      <t>异世的肖像</t>
    </r>
  </si>
  <si>
    <t>抗伤机制，根据需求可以有很好的发挥</t>
  </si>
  <si>
    <t>O-01-92</t>
  </si>
  <si>
    <t>美女和野兽</t>
  </si>
  <si>
    <t>前期刷要看脸，没有计数器后期直接可以不管</t>
  </si>
  <si>
    <r>
      <rPr>
        <b/>
        <sz val="14"/>
        <color rgb="FFD58EFF"/>
        <rFont val="Microsoft YaHei"/>
        <charset val="134"/>
      </rPr>
      <t>DPS：3.75</t>
    </r>
    <r>
      <rPr>
        <sz val="14"/>
        <color rgb="FFFFFFFF"/>
        <rFont val="Microsoft YaHei"/>
        <charset val="134"/>
      </rPr>
      <t xml:space="preserve">  T级紫手枪，挺不错的</t>
    </r>
  </si>
  <si>
    <r>
      <rPr>
        <sz val="14"/>
        <color rgb="FFCB2743"/>
        <rFont val="Microsoft YaHei"/>
        <charset val="134"/>
      </rPr>
      <t>0.7</t>
    </r>
    <r>
      <rPr>
        <sz val="14"/>
        <color rgb="FFEEECBF"/>
        <rFont val="Microsoft YaHei"/>
        <charset val="134"/>
      </rPr>
      <t xml:space="preserve"> 0.6 </t>
    </r>
    <r>
      <rPr>
        <sz val="14"/>
        <color rgb="FFA562AD"/>
        <rFont val="Microsoft YaHei"/>
        <charset val="134"/>
      </rPr>
      <t>1.5</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红白不错，紫抗偏低</t>
    </r>
  </si>
  <si>
    <t>O-03-93</t>
  </si>
  <si>
    <r>
      <rPr>
        <u/>
        <sz val="14"/>
        <color rgb="FFFFFFFF"/>
        <rFont val="微软雅黑"/>
        <charset val="134"/>
      </rPr>
      <t>碧蓝新星</t>
    </r>
  </si>
  <si>
    <r>
      <rPr>
        <b/>
        <sz val="20"/>
        <color rgb="FF70EF42"/>
        <rFont val="Microsoft YaHei"/>
        <charset val="134"/>
      </rPr>
      <t>优</t>
    </r>
    <r>
      <rPr>
        <b/>
        <sz val="14"/>
        <color rgb="FFEB0E0B"/>
        <rFont val="Microsoft YaHei"/>
        <charset val="134"/>
      </rPr>
      <t xml:space="preserve">(A) </t>
    </r>
    <r>
      <rPr>
        <b/>
        <sz val="12"/>
        <color rgb="FF7F7F7F"/>
        <rFont val="Microsoft YaHei"/>
        <charset val="134"/>
      </rPr>
      <t>【极远(25)】</t>
    </r>
  </si>
  <si>
    <t>最好管的A级，不容易出逃</t>
  </si>
  <si>
    <r>
      <rPr>
        <b/>
        <sz val="14"/>
        <color rgb="FFFFF9E3"/>
        <rFont val="Microsoft YaHei"/>
        <charset val="134"/>
      </rPr>
      <t>DPS：3.75(7.5/12.55)</t>
    </r>
    <r>
      <rPr>
        <b/>
        <sz val="14"/>
        <color rgb="FFFFFFFF"/>
        <rFont val="Microsoft YaHei"/>
        <charset val="134"/>
      </rPr>
      <t xml:space="preserve"> </t>
    </r>
    <r>
      <rPr>
        <sz val="14"/>
        <color rgb="FFFFFFFF"/>
        <rFont val="Microsoft YaHei"/>
        <charset val="134"/>
      </rPr>
      <t xml:space="preserve"> 远程攻击，伤害也不错</t>
    </r>
  </si>
  <si>
    <r>
      <rPr>
        <sz val="14"/>
        <color rgb="FFCB2743"/>
        <rFont val="Microsoft YaHei"/>
        <charset val="134"/>
      </rPr>
      <t>0.4</t>
    </r>
    <r>
      <rPr>
        <sz val="14"/>
        <color rgb="FFEEECBF"/>
        <rFont val="Microsoft YaHei"/>
        <charset val="134"/>
      </rPr>
      <t xml:space="preserve"> 0.4 </t>
    </r>
    <r>
      <rPr>
        <sz val="14"/>
        <color rgb="FFA562AD"/>
        <rFont val="Microsoft YaHei"/>
        <charset val="134"/>
      </rPr>
      <t>0.4</t>
    </r>
    <r>
      <rPr>
        <sz val="14"/>
        <color rgb="FFFFFFFF"/>
        <rFont val="Microsoft YaHei"/>
        <charset val="134"/>
      </rPr>
      <t xml:space="preserve"> </t>
    </r>
    <r>
      <rPr>
        <sz val="14"/>
        <color rgb="FF3FCDBD"/>
        <rFont val="Microsoft YaHei"/>
        <charset val="134"/>
      </rPr>
      <t xml:space="preserve">1.0 </t>
    </r>
    <r>
      <rPr>
        <sz val="14"/>
        <color rgb="FFFFFFFF"/>
        <rFont val="Microsoft YaHei"/>
        <charset val="134"/>
      </rPr>
      <t>A级均衡甲
特殊效果有BUG不会触发</t>
    </r>
  </si>
  <si>
    <t>T-09-94</t>
  </si>
  <si>
    <r>
      <rPr>
        <u/>
        <sz val="14"/>
        <color rgb="FFFFFFFF"/>
        <rFont val="微软雅黑"/>
        <charset val="134"/>
      </rPr>
      <t>你必须要幸福</t>
    </r>
  </si>
  <si>
    <t>非常实用的异想体，能增加属性，遇到必选</t>
  </si>
  <si>
    <t>O-09-95</t>
  </si>
  <si>
    <r>
      <rPr>
        <u/>
        <sz val="14"/>
        <color rgb="FFFFFFFF"/>
        <rFont val="微软雅黑"/>
        <charset val="134"/>
      </rPr>
      <t>荧光手镯</t>
    </r>
  </si>
  <si>
    <t>有bug，根本没加成，debuff倒是很多</t>
  </si>
  <si>
    <t>O-09-96</t>
  </si>
  <si>
    <r>
      <rPr>
        <u/>
        <sz val="14"/>
        <color rgb="FFFFFFFF"/>
        <rFont val="微软雅黑"/>
        <charset val="134"/>
      </rPr>
      <t>行为矫正仪</t>
    </r>
  </si>
  <si>
    <t>T-09-97</t>
  </si>
  <si>
    <r>
      <rPr>
        <u/>
        <sz val="14"/>
        <color rgb="FFFFFFFF"/>
        <rFont val="微软雅黑"/>
        <charset val="134"/>
      </rPr>
      <t>古老的信念与承诺</t>
    </r>
  </si>
  <si>
    <t>可以强化武器，就是看脸</t>
  </si>
  <si>
    <t>O-02-98</t>
  </si>
  <si>
    <r>
      <rPr>
        <u/>
        <sz val="14"/>
        <color rgb="FFFFFFFF"/>
        <rFont val="微软雅黑"/>
        <charset val="134"/>
      </rPr>
      <t>棘刺公交</t>
    </r>
  </si>
  <si>
    <r>
      <rPr>
        <b/>
        <sz val="20"/>
        <color rgb="FFF42C3E"/>
        <rFont val="Microsoft YaHei"/>
        <charset val="134"/>
      </rPr>
      <t>极差</t>
    </r>
    <r>
      <rPr>
        <b/>
        <sz val="12"/>
        <color rgb="FFFFFF0B"/>
        <rFont val="Microsoft YaHei"/>
        <charset val="134"/>
      </rPr>
      <t xml:space="preserve">(H) </t>
    </r>
    <r>
      <rPr>
        <b/>
        <sz val="12"/>
        <color rgb="FF7F7F7F"/>
        <rFont val="Microsoft YaHei"/>
        <charset val="134"/>
      </rPr>
      <t>【一般(5)】</t>
    </r>
  </si>
  <si>
    <t>前期低自律比较麻烦，自律高了随便打</t>
  </si>
  <si>
    <r>
      <rPr>
        <b/>
        <sz val="14"/>
        <color rgb="FFD58EFF"/>
        <rFont val="Microsoft YaHei"/>
        <charset val="134"/>
      </rPr>
      <t>DPS：1.51</t>
    </r>
    <r>
      <rPr>
        <b/>
        <sz val="14"/>
        <color rgb="FFFFF9E3"/>
        <rFont val="Microsoft YaHei"/>
        <charset val="134"/>
      </rPr>
      <t>+2</t>
    </r>
    <r>
      <rPr>
        <b/>
        <sz val="14"/>
        <color rgb="FFFFFFFF"/>
        <rFont val="Microsoft YaHei"/>
        <charset val="134"/>
      </rPr>
      <t xml:space="preserve"> </t>
    </r>
    <r>
      <rPr>
        <sz val="14"/>
        <color rgb="FFFFFFFF"/>
        <rFont val="Microsoft YaHei"/>
        <charset val="134"/>
      </rPr>
      <t xml:space="preserve"> 一些设计失败的武器</t>
    </r>
  </si>
  <si>
    <r>
      <rPr>
        <sz val="14"/>
        <color rgb="FFCB2743"/>
        <rFont val="Microsoft YaHei"/>
        <charset val="134"/>
      </rPr>
      <t>1.2</t>
    </r>
    <r>
      <rPr>
        <sz val="14"/>
        <color rgb="FFEEECBF"/>
        <rFont val="Microsoft YaHei"/>
        <charset val="134"/>
      </rPr>
      <t xml:space="preserve"> 0.8 </t>
    </r>
    <r>
      <rPr>
        <sz val="14"/>
        <color rgb="FFA562AD"/>
        <rFont val="Microsoft YaHei"/>
        <charset val="134"/>
      </rPr>
      <t>0.8</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双抗甲弱红</t>
    </r>
  </si>
  <si>
    <t>T-02-99</t>
  </si>
  <si>
    <r>
      <rPr>
        <u/>
        <sz val="14"/>
        <color rgb="FFFFFFFF"/>
        <rFont val="Microsoft YaHei"/>
        <charset val="134"/>
      </rPr>
      <t>空虚之梦</t>
    </r>
  </si>
  <si>
    <r>
      <rPr>
        <b/>
        <sz val="20"/>
        <color rgb="FF70EF42"/>
        <rFont val="Microsoft YaHei"/>
        <charset val="134"/>
      </rPr>
      <t>优</t>
    </r>
    <r>
      <rPr>
        <b/>
        <sz val="12"/>
        <color rgb="FF21AEFF"/>
        <rFont val="Microsoft YaHei"/>
        <charset val="134"/>
      </rPr>
      <t xml:space="preserve">(T) </t>
    </r>
    <r>
      <rPr>
        <b/>
        <sz val="12"/>
        <color rgb="FF7F7F7F"/>
        <rFont val="Microsoft YaHei"/>
        <charset val="134"/>
      </rPr>
      <t>【一般(8)】</t>
    </r>
  </si>
  <si>
    <t>并不容易出逃，出逃睡眠有恶性bug，建议别收</t>
  </si>
  <si>
    <r>
      <rPr>
        <b/>
        <sz val="14"/>
        <color rgb="FFFFF9E3"/>
        <rFont val="Microsoft YaHei"/>
        <charset val="134"/>
      </rPr>
      <t>DPS：4.5</t>
    </r>
    <r>
      <rPr>
        <sz val="14"/>
        <color rgb="FFFFFFFF"/>
        <rFont val="Microsoft YaHei"/>
        <charset val="134"/>
      </rPr>
      <t xml:space="preserve">  高频伤害</t>
    </r>
  </si>
  <si>
    <r>
      <rPr>
        <sz val="14"/>
        <color rgb="FFCB2743"/>
        <rFont val="Microsoft YaHei"/>
        <charset val="134"/>
      </rPr>
      <t>1.2</t>
    </r>
    <r>
      <rPr>
        <sz val="14"/>
        <color rgb="FFEEECBF"/>
        <rFont val="Microsoft YaHei"/>
        <charset val="134"/>
      </rPr>
      <t xml:space="preserve"> 0.8 </t>
    </r>
    <r>
      <rPr>
        <b/>
        <sz val="14"/>
        <color rgb="FFA562AD"/>
        <rFont val="Microsoft YaHei"/>
        <charset val="134"/>
      </rPr>
      <t>0.7</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双抗甲弱红</t>
    </r>
  </si>
  <si>
    <t>O-04-100</t>
  </si>
  <si>
    <r>
      <rPr>
        <u/>
        <sz val="14"/>
        <color rgb="FFFFFFFF"/>
        <rFont val="微软雅黑"/>
        <charset val="134"/>
      </rPr>
      <t>樱下墓</t>
    </r>
  </si>
  <si>
    <t>偷人型，要求工作良差，全图一次偷五个人</t>
  </si>
  <si>
    <r>
      <rPr>
        <b/>
        <sz val="14"/>
        <color rgb="FFFFF9E3"/>
        <rFont val="Microsoft YaHei"/>
        <charset val="134"/>
      </rPr>
      <t xml:space="preserve">DPS：4.5 </t>
    </r>
    <r>
      <rPr>
        <sz val="14"/>
        <color rgb="FFFFFFFF"/>
        <rFont val="Microsoft YaHei"/>
        <charset val="134"/>
      </rPr>
      <t xml:space="preserve"> 都是高频伤但抬手比上面那个差些</t>
    </r>
  </si>
  <si>
    <r>
      <rPr>
        <sz val="14"/>
        <color rgb="FFCB2743"/>
        <rFont val="Microsoft YaHei"/>
        <charset val="134"/>
      </rPr>
      <t>1.2</t>
    </r>
    <r>
      <rPr>
        <sz val="14"/>
        <color rgb="FFEEECBF"/>
        <rFont val="Microsoft YaHei"/>
        <charset val="134"/>
      </rPr>
      <t xml:space="preserve"> </t>
    </r>
    <r>
      <rPr>
        <b/>
        <sz val="14"/>
        <color rgb="FFEEECBF"/>
        <rFont val="Microsoft YaHei"/>
        <charset val="134"/>
      </rPr>
      <t xml:space="preserve">0.6 </t>
    </r>
    <r>
      <rPr>
        <sz val="14"/>
        <color rgb="FFA562AD"/>
        <rFont val="Microsoft YaHei"/>
        <charset val="134"/>
      </rPr>
      <t>0.7</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双抗甲弱红</t>
    </r>
  </si>
  <si>
    <t>O-02-101</t>
  </si>
  <si>
    <r>
      <rPr>
        <u/>
        <sz val="14"/>
        <color rgb="FFFFFFFF"/>
        <rFont val="微软雅黑"/>
        <charset val="134"/>
      </rPr>
      <t>炎雀</t>
    </r>
  </si>
  <si>
    <r>
      <rPr>
        <b/>
        <sz val="20"/>
        <color rgb="FFF4F72E"/>
        <rFont val="Microsoft YaHei"/>
        <charset val="134"/>
      </rPr>
      <t>良</t>
    </r>
    <r>
      <rPr>
        <b/>
        <sz val="12"/>
        <color rgb="FF8939FC"/>
        <rFont val="Microsoft YaHei"/>
        <charset val="134"/>
      </rPr>
      <t xml:space="preserve">(W) </t>
    </r>
    <r>
      <rPr>
        <b/>
        <sz val="12"/>
        <color rgb="FF7F7F7F"/>
        <rFont val="Microsoft YaHei"/>
        <charset val="134"/>
      </rPr>
      <t>【远(15)】</t>
    </r>
  </si>
  <si>
    <t>工作差涨计数器，不是很好管</t>
  </si>
  <si>
    <r>
      <rPr>
        <b/>
        <sz val="14"/>
        <color rgb="FFFFF9E3"/>
        <rFont val="Microsoft YaHei"/>
        <charset val="134"/>
      </rPr>
      <t xml:space="preserve">DPS：9.0 </t>
    </r>
    <r>
      <rPr>
        <sz val="14"/>
        <color rgb="FFFFFFFF"/>
        <rFont val="Microsoft YaHei"/>
        <charset val="134"/>
      </rPr>
      <t xml:space="preserve"> 低配新星，但实际体验效果一般</t>
    </r>
  </si>
  <si>
    <r>
      <rPr>
        <sz val="14"/>
        <color rgb="FFCB2743"/>
        <rFont val="Microsoft YaHei"/>
        <charset val="134"/>
      </rPr>
      <t>0.6</t>
    </r>
    <r>
      <rPr>
        <sz val="14"/>
        <color rgb="FFEEECBF"/>
        <rFont val="Microsoft YaHei"/>
        <charset val="134"/>
      </rPr>
      <t xml:space="preserve"> 0.6 </t>
    </r>
    <r>
      <rPr>
        <sz val="14"/>
        <color rgb="FFA562AD"/>
        <rFont val="Microsoft YaHei"/>
        <charset val="134"/>
      </rPr>
      <t>1.3</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弱紫，蓝抗也低</t>
    </r>
  </si>
  <si>
    <t>O-05-102</t>
  </si>
  <si>
    <r>
      <rPr>
        <u/>
        <sz val="14"/>
        <color rgb="FFFFFFFF"/>
        <rFont val="微软雅黑"/>
        <charset val="134"/>
      </rPr>
      <t>阴</t>
    </r>
  </si>
  <si>
    <r>
      <rPr>
        <b/>
        <sz val="20"/>
        <color rgb="FFF4F72E"/>
        <rFont val="Microsoft YaHei"/>
        <charset val="134"/>
      </rPr>
      <t>良</t>
    </r>
    <r>
      <rPr>
        <b/>
        <sz val="12"/>
        <color rgb="FF8939FC"/>
        <rFont val="Microsoft YaHei"/>
        <charset val="134"/>
      </rPr>
      <t xml:space="preserve">(W) </t>
    </r>
    <r>
      <rPr>
        <b/>
        <sz val="12"/>
        <color rgb="FF7F7F7F"/>
        <rFont val="Microsoft YaHei"/>
        <charset val="134"/>
      </rPr>
      <t>【一般(5)】</t>
    </r>
  </si>
  <si>
    <t>不太容易减计数器，但出逃了比较麻烦</t>
  </si>
  <si>
    <r>
      <rPr>
        <b/>
        <sz val="14"/>
        <color rgb="FFD58EFF"/>
        <rFont val="Microsoft YaHei"/>
        <charset val="134"/>
      </rPr>
      <t xml:space="preserve">DPS：8.98 </t>
    </r>
    <r>
      <rPr>
        <sz val="14"/>
        <color rgb="FFFFFFFF"/>
        <rFont val="Microsoft YaHei"/>
        <charset val="134"/>
      </rPr>
      <t xml:space="preserve"> 伤害还可以</t>
    </r>
  </si>
  <si>
    <r>
      <rPr>
        <sz val="14"/>
        <color rgb="FFCB2743"/>
        <rFont val="Microsoft YaHei"/>
        <charset val="134"/>
      </rPr>
      <t>1.2</t>
    </r>
    <r>
      <rPr>
        <sz val="14"/>
        <color rgb="FFEEECBF"/>
        <rFont val="Microsoft YaHei"/>
        <charset val="134"/>
      </rPr>
      <t xml:space="preserve"> 0.8 </t>
    </r>
    <r>
      <rPr>
        <sz val="14"/>
        <color rgb="FFA562AD"/>
        <rFont val="Microsoft YaHei"/>
        <charset val="134"/>
      </rPr>
      <t>0.6</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紫抗甲，弱红</t>
    </r>
  </si>
  <si>
    <t>不推荐镇压（有阳的情况下）</t>
  </si>
  <si>
    <t>O-07-103</t>
  </si>
  <si>
    <r>
      <rPr>
        <u/>
        <sz val="14"/>
        <color rgb="FFFFFFFF"/>
        <rFont val="微软雅黑"/>
        <charset val="134"/>
      </rPr>
      <t>阳</t>
    </r>
  </si>
  <si>
    <t>阴的伴生物，不好用</t>
  </si>
  <si>
    <t>D-09-104</t>
  </si>
  <si>
    <r>
      <rPr>
        <u/>
        <sz val="14"/>
        <color rgb="FFFFFFFF"/>
        <rFont val="微软雅黑"/>
        <charset val="134"/>
      </rPr>
      <t>回溯之钟</t>
    </r>
  </si>
  <si>
    <t>打锁妈神器，很方便逃课，推荐选</t>
  </si>
  <si>
    <t>D-01-105</t>
  </si>
  <si>
    <r>
      <rPr>
        <u/>
        <sz val="14"/>
        <color rgb="FFFFFFFF"/>
        <rFont val="微软雅黑"/>
        <charset val="134"/>
      </rPr>
      <t>月光女神</t>
    </r>
  </si>
  <si>
    <r>
      <rPr>
        <b/>
        <sz val="20"/>
        <color rgb="FF70EF42"/>
        <rFont val="Microsoft YaHei"/>
        <charset val="134"/>
      </rPr>
      <t>极优</t>
    </r>
    <r>
      <rPr>
        <b/>
        <sz val="12"/>
        <color rgb="FF8939FC"/>
        <rFont val="Microsoft YaHei"/>
        <charset val="134"/>
      </rPr>
      <t xml:space="preserve">(W) </t>
    </r>
    <r>
      <rPr>
        <b/>
        <sz val="12"/>
        <color rgb="FF7F7F7F"/>
        <rFont val="Microsoft YaHei"/>
        <charset val="134"/>
      </rPr>
      <t>【近(3)】</t>
    </r>
  </si>
  <si>
    <r>
      <rPr>
        <b/>
        <sz val="14"/>
        <color rgb="FFFFF9E3"/>
        <rFont val="Microsoft YaHei"/>
        <charset val="134"/>
      </rPr>
      <t>DPS：7.89</t>
    </r>
    <r>
      <rPr>
        <sz val="14"/>
        <color rgb="FFFFFFFF"/>
        <rFont val="Microsoft YaHei"/>
        <charset val="134"/>
      </rPr>
      <t xml:space="preserve">  可套全体紫盾，功能性强</t>
    </r>
  </si>
  <si>
    <r>
      <rPr>
        <sz val="14"/>
        <color rgb="FFCB2743"/>
        <rFont val="Microsoft YaHei"/>
        <charset val="134"/>
      </rPr>
      <t>0.8</t>
    </r>
    <r>
      <rPr>
        <sz val="14"/>
        <color rgb="FFEEECBF"/>
        <rFont val="Microsoft YaHei"/>
        <charset val="134"/>
      </rPr>
      <t xml:space="preserve"> 0.4 </t>
    </r>
    <r>
      <rPr>
        <sz val="14"/>
        <color rgb="FFA562AD"/>
        <rFont val="Microsoft YaHei"/>
        <charset val="134"/>
      </rPr>
      <t>0.7</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白抗甲，蓝抗偏低</t>
    </r>
  </si>
  <si>
    <t>D-01-106</t>
  </si>
  <si>
    <r>
      <rPr>
        <u/>
        <sz val="14"/>
        <color rgb="FFFFFFFF"/>
        <rFont val="微软雅黑"/>
        <charset val="134"/>
      </rPr>
      <t>深黯“军团”</t>
    </r>
  </si>
  <si>
    <r>
      <rPr>
        <b/>
        <sz val="20"/>
        <color rgb="FFF42C3E"/>
        <rFont val="Microsoft YaHei"/>
        <charset val="134"/>
      </rPr>
      <t>差</t>
    </r>
    <r>
      <rPr>
        <b/>
        <sz val="12"/>
        <color rgb="FFEB0E0B"/>
        <rFont val="Microsoft YaHei"/>
        <charset val="134"/>
      </rPr>
      <t xml:space="preserve">(A) </t>
    </r>
    <r>
      <rPr>
        <b/>
        <sz val="12"/>
        <color rgb="FF7F7F7F"/>
        <rFont val="Microsoft YaHei"/>
        <charset val="134"/>
      </rPr>
      <t>【极远(35)】</t>
    </r>
  </si>
  <si>
    <t>文保协</t>
  </si>
  <si>
    <r>
      <rPr>
        <b/>
        <sz val="14"/>
        <color rgb="FFFFF9E3"/>
        <rFont val="Microsoft YaHei"/>
        <charset val="134"/>
      </rPr>
      <t>DPS：11.0(12.65)</t>
    </r>
    <r>
      <rPr>
        <sz val="14"/>
        <color rgb="FFFFFFFF"/>
        <rFont val="Microsoft YaHei"/>
        <charset val="134"/>
      </rPr>
      <t xml:space="preserve">  抬手太慢了，使用体验差</t>
    </r>
  </si>
  <si>
    <r>
      <rPr>
        <sz val="14"/>
        <color rgb="FFCB2743"/>
        <rFont val="Microsoft YaHei"/>
        <charset val="134"/>
      </rPr>
      <t>0.5</t>
    </r>
    <r>
      <rPr>
        <sz val="14"/>
        <color rgb="FFEEECBF"/>
        <rFont val="Microsoft YaHei"/>
        <charset val="134"/>
      </rPr>
      <t xml:space="preserve"> 0.3 </t>
    </r>
    <r>
      <rPr>
        <sz val="14"/>
        <color rgb="FFA562AD"/>
        <rFont val="Microsoft YaHei"/>
        <charset val="134"/>
      </rPr>
      <t>0.4</t>
    </r>
    <r>
      <rPr>
        <sz val="14"/>
        <color rgb="FFFFFFFF"/>
        <rFont val="Microsoft YaHei"/>
        <charset val="134"/>
      </rPr>
      <t xml:space="preserve"> </t>
    </r>
    <r>
      <rPr>
        <sz val="14"/>
        <color rgb="FF3FCDBD"/>
        <rFont val="Microsoft YaHei"/>
        <charset val="134"/>
      </rPr>
      <t xml:space="preserve">1.0 </t>
    </r>
    <r>
      <rPr>
        <sz val="14"/>
        <color rgb="FFFFFFFF"/>
        <rFont val="Microsoft YaHei"/>
        <charset val="134"/>
      </rPr>
      <t>白紫甲</t>
    </r>
  </si>
  <si>
    <t>D-02-107</t>
  </si>
  <si>
    <r>
      <rPr>
        <u/>
        <sz val="14"/>
        <color rgb="FFFFFFFF"/>
        <rFont val="微软雅黑"/>
        <charset val="134"/>
      </rPr>
      <t>波迪</t>
    </r>
  </si>
  <si>
    <r>
      <rPr>
        <b/>
        <sz val="20"/>
        <color rgb="FFF42C3E"/>
        <rFont val="Microsoft YaHei"/>
        <charset val="134"/>
      </rPr>
      <t>差</t>
    </r>
    <r>
      <rPr>
        <b/>
        <sz val="12"/>
        <color rgb="FF21AEFF"/>
        <rFont val="Microsoft YaHei"/>
        <charset val="134"/>
      </rPr>
      <t xml:space="preserve">(T) </t>
    </r>
    <r>
      <rPr>
        <b/>
        <sz val="12"/>
        <color rgb="FF7F7F7F"/>
        <rFont val="Microsoft YaHei"/>
        <charset val="134"/>
      </rPr>
      <t>【极近(2)】</t>
    </r>
  </si>
  <si>
    <t>好管，本能就行</t>
  </si>
  <si>
    <r>
      <rPr>
        <b/>
        <sz val="14"/>
        <color rgb="FFC00000"/>
        <rFont val="Microsoft YaHei"/>
        <charset val="134"/>
      </rPr>
      <t>DPS：5.0</t>
    </r>
    <r>
      <rPr>
        <sz val="14"/>
        <color rgb="FFFFFFFF"/>
        <rFont val="Microsoft YaHei"/>
        <charset val="134"/>
      </rPr>
      <t xml:space="preserve">  极近前期超不好用</t>
    </r>
  </si>
  <si>
    <r>
      <rPr>
        <sz val="14"/>
        <color rgb="FFCB2743"/>
        <rFont val="Microsoft YaHei"/>
        <charset val="134"/>
      </rPr>
      <t>0.8</t>
    </r>
    <r>
      <rPr>
        <sz val="14"/>
        <color rgb="FFEEECBF"/>
        <rFont val="Microsoft YaHei"/>
        <charset val="134"/>
      </rPr>
      <t xml:space="preserve"> 1.5 </t>
    </r>
    <r>
      <rPr>
        <sz val="14"/>
        <color rgb="FFA562AD"/>
        <rFont val="Microsoft YaHei"/>
        <charset val="134"/>
      </rPr>
      <t>0.8</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双抗甲弱白伤</t>
    </r>
  </si>
  <si>
    <t>D-04-108</t>
  </si>
  <si>
    <r>
      <rPr>
        <u/>
        <sz val="14"/>
        <color rgb="FFFFFFFF"/>
        <rFont val="微软雅黑"/>
        <charset val="134"/>
      </rPr>
      <t>寄生树</t>
    </r>
  </si>
  <si>
    <r>
      <rPr>
        <b/>
        <sz val="20"/>
        <color rgb="FF70EF42"/>
        <rFont val="Microsoft YaHei"/>
        <charset val="134"/>
      </rPr>
      <t>优</t>
    </r>
    <r>
      <rPr>
        <b/>
        <sz val="12"/>
        <color rgb="FF8939FC"/>
        <rFont val="Microsoft YaHei"/>
        <charset val="134"/>
      </rPr>
      <t xml:space="preserve">(W) </t>
    </r>
    <r>
      <rPr>
        <b/>
        <sz val="12"/>
        <color rgb="FF7F7F7F"/>
        <rFont val="Microsoft YaHei"/>
        <charset val="134"/>
      </rPr>
      <t>【极远(25)】</t>
    </r>
  </si>
  <si>
    <r>
      <rPr>
        <b/>
        <sz val="20"/>
        <color rgb="FF70EF42"/>
        <rFont val="Microsoft YaHei"/>
        <charset val="134"/>
      </rPr>
      <t>极优</t>
    </r>
    <r>
      <rPr>
        <b/>
        <sz val="12"/>
        <color rgb="FF8939FC"/>
        <rFont val="Microsoft YaHei"/>
        <charset val="134"/>
      </rPr>
      <t>(W)</t>
    </r>
  </si>
  <si>
    <t>偷人型终极体，不工作就偷人</t>
  </si>
  <si>
    <r>
      <rPr>
        <b/>
        <sz val="14"/>
        <color rgb="FFC00000"/>
        <rFont val="Microsoft YaHei"/>
        <charset val="134"/>
      </rPr>
      <t>DPS：7.5</t>
    </r>
    <r>
      <rPr>
        <sz val="14"/>
        <color rgb="FFFFFFFF"/>
        <rFont val="Microsoft YaHei"/>
        <charset val="134"/>
      </rPr>
      <t xml:space="preserve">  dps优，远程</t>
    </r>
  </si>
  <si>
    <r>
      <rPr>
        <sz val="14"/>
        <color rgb="FFCB2743"/>
        <rFont val="Microsoft YaHei"/>
        <charset val="134"/>
      </rPr>
      <t>0.7</t>
    </r>
    <r>
      <rPr>
        <sz val="14"/>
        <color rgb="FFEEECBF"/>
        <rFont val="Microsoft YaHei"/>
        <charset val="134"/>
      </rPr>
      <t xml:space="preserve"> 0.5 </t>
    </r>
    <r>
      <rPr>
        <sz val="14"/>
        <color rgb="FFA562AD"/>
        <rFont val="Microsoft YaHei"/>
        <charset val="134"/>
      </rPr>
      <t>1.3</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白抗甲
特殊能力群体回精神</t>
    </r>
  </si>
  <si>
    <t>D-03-109</t>
  </si>
  <si>
    <r>
      <rPr>
        <u/>
        <sz val="14"/>
        <color rgb="FFFFFFFF"/>
        <rFont val="微软雅黑"/>
        <charset val="134"/>
      </rPr>
      <t>溶解之爱</t>
    </r>
  </si>
  <si>
    <r>
      <rPr>
        <b/>
        <sz val="20"/>
        <color rgb="FFF42C3E"/>
        <rFont val="Microsoft YaHei"/>
        <charset val="134"/>
      </rPr>
      <t>差</t>
    </r>
    <r>
      <rPr>
        <b/>
        <sz val="12"/>
        <color rgb="FFEB0E0B"/>
        <rFont val="Microsoft YaHei"/>
        <charset val="134"/>
      </rPr>
      <t xml:space="preserve">(A) </t>
    </r>
    <r>
      <rPr>
        <b/>
        <sz val="12"/>
        <color rgb="FF7F7F7F"/>
        <rFont val="Microsoft YaHei"/>
        <charset val="134"/>
      </rPr>
      <t>【远(15)】</t>
    </r>
  </si>
  <si>
    <t>感染型</t>
  </si>
  <si>
    <r>
      <rPr>
        <b/>
        <sz val="14"/>
        <color rgb="FFD58EFF"/>
        <rFont val="Microsoft YaHei"/>
        <charset val="134"/>
      </rPr>
      <t>DPS：9.51+2</t>
    </r>
    <r>
      <rPr>
        <sz val="14"/>
        <color rgb="FFFFFFFF"/>
        <rFont val="Microsoft YaHei"/>
        <charset val="134"/>
      </rPr>
      <t xml:space="preserve">  
可以降移速，但伤害一般，抬手也慢，使用体验差</t>
    </r>
  </si>
  <si>
    <r>
      <rPr>
        <b/>
        <sz val="14"/>
        <color rgb="FFCB2743"/>
        <rFont val="Microsoft YaHei"/>
        <charset val="134"/>
      </rPr>
      <t>0.3</t>
    </r>
    <r>
      <rPr>
        <sz val="14"/>
        <color rgb="FFEEECBF"/>
        <rFont val="Microsoft YaHei"/>
        <charset val="134"/>
      </rPr>
      <t xml:space="preserve"> 0.6</t>
    </r>
    <r>
      <rPr>
        <b/>
        <sz val="14"/>
        <color rgb="FFEEECBF"/>
        <rFont val="Microsoft YaHei"/>
        <charset val="134"/>
      </rPr>
      <t xml:space="preserve"> </t>
    </r>
    <r>
      <rPr>
        <b/>
        <sz val="14"/>
        <color rgb="FFA562AD"/>
        <rFont val="Microsoft YaHei"/>
        <charset val="134"/>
      </rPr>
      <t>0.3</t>
    </r>
    <r>
      <rPr>
        <sz val="14"/>
        <color rgb="FFFFFFFF"/>
        <rFont val="Microsoft YaHei"/>
        <charset val="134"/>
      </rPr>
      <t xml:space="preserve"> </t>
    </r>
    <r>
      <rPr>
        <sz val="14"/>
        <color rgb="FF3FCDBD"/>
        <rFont val="Microsoft YaHei"/>
        <charset val="134"/>
      </rPr>
      <t xml:space="preserve">1.0 </t>
    </r>
    <r>
      <rPr>
        <sz val="14"/>
        <color rgb="FFFFFFFF"/>
        <rFont val="Microsoft YaHei"/>
        <charset val="134"/>
      </rPr>
      <t>双抗甲弱白伤</t>
    </r>
  </si>
  <si>
    <t>D-01-110</t>
  </si>
  <si>
    <r>
      <rPr>
        <u/>
        <sz val="14"/>
        <color rgb="FFFFFFFF"/>
        <rFont val="微软雅黑"/>
        <charset val="134"/>
      </rPr>
      <t>风云法师</t>
    </r>
  </si>
  <si>
    <r>
      <rPr>
        <b/>
        <sz val="20"/>
        <color rgb="FFF42C3E"/>
        <rFont val="Microsoft YaHei"/>
        <charset val="134"/>
      </rPr>
      <t>极差</t>
    </r>
    <r>
      <rPr>
        <b/>
        <sz val="12"/>
        <color rgb="FF8939FC"/>
        <rFont val="Microsoft YaHei"/>
        <charset val="134"/>
      </rPr>
      <t xml:space="preserve">(W) </t>
    </r>
    <r>
      <rPr>
        <b/>
        <sz val="12"/>
        <color rgb="FF7F7F7F"/>
        <rFont val="Microsoft YaHei"/>
        <charset val="134"/>
      </rPr>
      <t>【一般(4)】</t>
    </r>
  </si>
  <si>
    <r>
      <rPr>
        <b/>
        <sz val="14"/>
        <color rgb="FFC00000"/>
        <rFont val="Microsoft YaHei"/>
        <charset val="134"/>
      </rPr>
      <t>DPS：4.51</t>
    </r>
    <r>
      <rPr>
        <sz val="14"/>
        <color rgb="FFFFFFFF"/>
        <rFont val="Microsoft YaHei"/>
        <charset val="134"/>
      </rPr>
      <t xml:space="preserve">  一些设计失败的武器</t>
    </r>
  </si>
  <si>
    <r>
      <rPr>
        <b/>
        <sz val="14"/>
        <color rgb="FFCB2743"/>
        <rFont val="Microsoft YaHei"/>
        <charset val="134"/>
      </rPr>
      <t>0.5</t>
    </r>
    <r>
      <rPr>
        <sz val="14"/>
        <color rgb="FFEEECBF"/>
        <rFont val="Microsoft YaHei"/>
        <charset val="134"/>
      </rPr>
      <t xml:space="preserve"> 1.3</t>
    </r>
    <r>
      <rPr>
        <b/>
        <sz val="14"/>
        <color rgb="FFEEECBF"/>
        <rFont val="Microsoft YaHei"/>
        <charset val="134"/>
      </rPr>
      <t xml:space="preserve"> </t>
    </r>
    <r>
      <rPr>
        <sz val="14"/>
        <color rgb="FFA562AD"/>
        <rFont val="Microsoft YaHei"/>
        <charset val="134"/>
      </rPr>
      <t>0.7</t>
    </r>
    <r>
      <rPr>
        <sz val="14"/>
        <color rgb="FFFFFFFF"/>
        <rFont val="Microsoft YaHei"/>
        <charset val="134"/>
      </rPr>
      <t xml:space="preserve"> </t>
    </r>
    <r>
      <rPr>
        <sz val="14"/>
        <color rgb="FF3FCDBD"/>
        <rFont val="Microsoft YaHei"/>
        <charset val="134"/>
      </rPr>
      <t xml:space="preserve">1.5 </t>
    </r>
    <r>
      <rPr>
        <sz val="14"/>
        <color rgb="FFFFFFFF"/>
        <rFont val="Microsoft YaHei"/>
        <charset val="134"/>
      </rPr>
      <t>双抗甲弱白伤</t>
    </r>
  </si>
  <si>
    <r>
      <rPr>
        <sz val="8"/>
        <color rgb="FFFFFFFF"/>
        <rFont val="等线"/>
        <charset val="134"/>
      </rPr>
      <t>秃头</t>
    </r>
    <r>
      <rPr>
        <sz val="8"/>
        <color rgb="FFFFFFFF"/>
        <rFont val="Impact"/>
        <charset val="134"/>
      </rPr>
      <t>-</t>
    </r>
    <r>
      <rPr>
        <sz val="8"/>
        <color rgb="FFFFFFFF"/>
        <rFont val="等线"/>
        <charset val="134"/>
      </rPr>
      <t>真是</t>
    </r>
    <r>
      <rPr>
        <sz val="8"/>
        <color rgb="FFFFFFFF"/>
        <rFont val="Impact"/>
        <charset val="134"/>
      </rPr>
      <t>-</t>
    </r>
    <r>
      <rPr>
        <sz val="8"/>
        <color rgb="FFFFFFFF"/>
        <rFont val="等线"/>
        <charset val="134"/>
      </rPr>
      <t>太棒啦</t>
    </r>
    <r>
      <rPr>
        <sz val="8"/>
        <color rgb="FFFFFFFF"/>
        <rFont val="Impact"/>
        <charset val="134"/>
      </rPr>
      <t>!</t>
    </r>
  </si>
  <si>
    <r>
      <rPr>
        <u/>
        <sz val="14"/>
        <color rgb="FFFFFFFF"/>
        <rFont val="微软雅黑"/>
        <charset val="134"/>
      </rPr>
      <t>你是个秃子...</t>
    </r>
  </si>
  <si>
    <t>不难管但也不想对它工作……</t>
  </si>
  <si>
    <r>
      <rPr>
        <b/>
        <sz val="14"/>
        <color rgb="FFFFF9E3"/>
        <rFont val="Microsoft YaHei"/>
        <charset val="134"/>
      </rPr>
      <t>DPS：4.5</t>
    </r>
    <r>
      <rPr>
        <sz val="14"/>
        <color rgb="FFFFFFFF"/>
        <rFont val="Microsoft YaHei"/>
        <charset val="134"/>
      </rPr>
      <t xml:space="preserve">  手枪很好，但它要秃头才能用啊</t>
    </r>
  </si>
  <si>
    <r>
      <rPr>
        <sz val="14"/>
        <color rgb="FFCB2743"/>
        <rFont val="Microsoft YaHei"/>
        <charset val="134"/>
      </rPr>
      <t>1.0</t>
    </r>
    <r>
      <rPr>
        <sz val="14"/>
        <color rgb="FFEEECBF"/>
        <rFont val="Microsoft YaHei"/>
        <charset val="134"/>
      </rPr>
      <t xml:space="preserve"> 1.0 </t>
    </r>
    <r>
      <rPr>
        <sz val="14"/>
        <color rgb="FFA562AD"/>
        <rFont val="Microsoft YaHei"/>
        <charset val="134"/>
      </rPr>
      <t>0.8</t>
    </r>
    <r>
      <rPr>
        <sz val="14"/>
        <color rgb="FFFFFFFF"/>
        <rFont val="Microsoft YaHei"/>
        <charset val="134"/>
      </rPr>
      <t xml:space="preserve"> </t>
    </r>
    <r>
      <rPr>
        <sz val="14"/>
        <color rgb="FF3FCDBD"/>
        <rFont val="Microsoft YaHei"/>
        <charset val="134"/>
      </rPr>
      <t xml:space="preserve">2.0 </t>
    </r>
    <r>
      <rPr>
        <sz val="14"/>
        <color rgb="FFFFFFFF"/>
        <rFont val="Microsoft YaHei"/>
        <charset val="134"/>
      </rPr>
      <t>估计也没人用</t>
    </r>
  </si>
  <si>
    <t>加班计算器</t>
  </si>
  <si>
    <t>我在世界的最东端</t>
  </si>
  <si>
    <r>
      <rPr>
        <b/>
        <sz val="12"/>
        <color rgb="FFFFFDAD"/>
        <rFont val="Microsoft YaHei"/>
        <charset val="134"/>
      </rPr>
      <t>使用须知：本表用来粗略估算员工对异想体进行工作的属性加成，输入区的红底单元格均可操作(科技为打勾，品质和异想体等级为下拉选项)，完成输入后，会自动计算单次工作期望的属性加成和提升20点属性需要的工作次数。</t>
    </r>
    <r>
      <rPr>
        <sz val="12"/>
        <color rgb="FFFFFFFF"/>
        <rFont val="Microsoft YaHei"/>
        <charset val="134"/>
      </rPr>
      <t xml:space="preserve">
</t>
    </r>
    <r>
      <rPr>
        <b/>
        <sz val="12"/>
        <color rgb="FFDE3C36"/>
        <rFont val="Microsoft YaHei"/>
        <charset val="134"/>
      </rPr>
      <t>声明：本表用来粗略估算员工对异想体进行工作的属性加成</t>
    </r>
    <r>
      <rPr>
        <sz val="12"/>
        <color rgb="FFFFFFFF"/>
        <rFont val="Microsoft YaHei"/>
        <charset val="134"/>
      </rPr>
      <t xml:space="preserve">
</t>
    </r>
    <r>
      <rPr>
        <b/>
        <sz val="12"/>
        <color rgb="FFDE3C36"/>
        <rFont val="Microsoft YaHei"/>
        <charset val="134"/>
      </rPr>
      <t>很多数值采用的是期望，实际情况可能会有较大差异，但进行一个简单的加班参考还是没问题的</t>
    </r>
    <r>
      <rPr>
        <sz val="12"/>
        <color rgb="FFFFFFFF"/>
        <rFont val="Microsoft YaHei"/>
        <charset val="134"/>
      </rPr>
      <t xml:space="preserve">
</t>
    </r>
    <r>
      <rPr>
        <b/>
        <sz val="12"/>
        <color rgb="FFDE3C36"/>
        <rFont val="Microsoft YaHei"/>
        <charset val="134"/>
      </rPr>
      <t>具体计算公式可以转去wiki职员界面查看：</t>
    </r>
    <r>
      <rPr>
        <sz val="12"/>
        <color rgb="FFFFFFFF"/>
        <rFont val="Microsoft YaHei"/>
        <charset val="134"/>
      </rPr>
      <t xml:space="preserve">
</t>
    </r>
    <r>
      <rPr>
        <u/>
        <sz val="12"/>
        <color rgb="FF175CEB"/>
        <rFont val="Microsoft YaHei"/>
        <charset val="134"/>
      </rPr>
      <t>https://lobotomycorp.fandom.com/zh/wiki/%E8%81%8C%E5%91%98</t>
    </r>
  </si>
  <si>
    <t>输   入   区</t>
  </si>
  <si>
    <r>
      <rPr>
        <sz val="20"/>
        <color rgb="FFFFFFFF"/>
        <rFont val="Microsoft YaHei"/>
        <charset val="134"/>
      </rPr>
      <t>是否开培训部科技</t>
    </r>
    <r>
      <rPr>
        <sz val="10"/>
        <color rgb="FF000000"/>
        <rFont val="宋体"/>
        <charset val="134"/>
      </rPr>
      <t xml:space="preserve">
</t>
    </r>
    <r>
      <rPr>
        <sz val="12"/>
        <color rgb="FFFFFFFF"/>
        <rFont val="Microsoft YaHei"/>
        <charset val="134"/>
      </rPr>
      <t>(培训部科技“普及培训手册”)</t>
    </r>
    <r>
      <rPr>
        <sz val="10"/>
        <color rgb="FF000000"/>
        <rFont val="宋体"/>
        <charset val="134"/>
      </rPr>
      <t xml:space="preserve">
</t>
    </r>
  </si>
  <si>
    <t xml:space="preserve">员工品质属性
(要刷的那个属性当前的等级, 如谨慎2级)	</t>
  </si>
  <si>
    <t>工作异想体等级</t>
  </si>
  <si>
    <t xml:space="preserve">  </t>
  </si>
  <si>
    <t xml:space="preserve"> </t>
  </si>
  <si>
    <t>☑</t>
  </si>
  <si>
    <t>Ⅳ</t>
  </si>
  <si>
    <t>输   出   区</t>
  </si>
  <si>
    <t>aaa</t>
  </si>
  <si>
    <t>单次工作期望属性加成 =</t>
  </si>
  <si>
    <t>期望健康输出值</t>
  </si>
  <si>
    <t>培训部系数</t>
  </si>
  <si>
    <t>工作系数</t>
  </si>
  <si>
    <t>期望PE-BOX数</t>
  </si>
  <si>
    <t>×</t>
  </si>
  <si>
    <r>
      <rPr>
        <sz val="18"/>
        <color rgb="FFFFFFFF"/>
        <rFont val="Microsoft YaHei"/>
        <charset val="134"/>
      </rPr>
      <t>提升</t>
    </r>
  </si>
  <si>
    <r>
      <rPr>
        <sz val="18"/>
        <color rgb="FFFFFFFF"/>
        <rFont val="微软雅黑"/>
        <charset val="134"/>
      </rPr>
      <t>点属性需要工作</t>
    </r>
  </si>
  <si>
    <t>次</t>
  </si>
  <si>
    <t xml:space="preserve">
</t>
  </si>
  <si>
    <t>看得到我吗？</t>
  </si>
  <si>
    <t xml:space="preserve">看到了
</t>
  </si>
  <si>
    <t>？？？</t>
  </si>
  <si>
    <t xml:space="preserve">666
</t>
  </si>
  <si>
    <t>你们在干什么喵？</t>
  </si>
  <si>
    <t>WAW                ALEPH</t>
  </si>
  <si>
    <t>角落</t>
  </si>
  <si>
    <r>
      <rPr>
        <b/>
        <sz val="12"/>
        <color rgb="FFFFFDAD"/>
        <rFont val="Microsoft YaHei"/>
        <charset val="134"/>
      </rPr>
      <t>使用须知：本表用来粗略估算员工对异想体进行工作的属性加成，输入区的红底单元格均可操作(科技为打勾，品质和异想体等级为下拉选项)，完成输入后，会自动计算单次工作期望的属性加成和提升20点属性需要的工作次数。</t>
    </r>
    <r>
      <rPr>
        <sz val="12"/>
        <color rgb="FFFFFFFF"/>
        <rFont val="Microsoft YaHei"/>
        <charset val="134"/>
      </rPr>
      <t xml:space="preserve">
</t>
    </r>
    <r>
      <rPr>
        <b/>
        <sz val="12"/>
        <color rgb="FFDE3C36"/>
        <rFont val="Microsoft YaHei"/>
        <charset val="134"/>
      </rPr>
      <t>声明：本表用来粗略估算员工对异想体进行工作的属性加成</t>
    </r>
    <r>
      <rPr>
        <sz val="12"/>
        <color rgb="FFFFFFFF"/>
        <rFont val="Microsoft YaHei"/>
        <charset val="134"/>
      </rPr>
      <t xml:space="preserve">
</t>
    </r>
    <r>
      <rPr>
        <b/>
        <sz val="12"/>
        <color rgb="FFDE3C36"/>
        <rFont val="Microsoft YaHei"/>
        <charset val="134"/>
      </rPr>
      <t>很多数值采用的是期望，实际情况可能会有较大差异，但进行一个简单的加班参考还是没问题的</t>
    </r>
    <r>
      <rPr>
        <sz val="12"/>
        <color rgb="FFFFFFFF"/>
        <rFont val="Microsoft YaHei"/>
        <charset val="134"/>
      </rPr>
      <t xml:space="preserve">
</t>
    </r>
    <r>
      <rPr>
        <b/>
        <sz val="12"/>
        <color rgb="FFDE3C36"/>
        <rFont val="Microsoft YaHei"/>
        <charset val="134"/>
      </rPr>
      <t>具体计算公式可以转去wiki职员界面查看：</t>
    </r>
    <r>
      <rPr>
        <sz val="12"/>
        <color rgb="FFFFFFFF"/>
        <rFont val="Microsoft YaHei"/>
        <charset val="134"/>
      </rPr>
      <t xml:space="preserve">
</t>
    </r>
    <r>
      <rPr>
        <sz val="12"/>
        <color rgb="FFDE3C36"/>
        <rFont val="Microsoft YaHei"/>
        <charset val="134"/>
      </rPr>
      <t>https://lobotomycorp.fandom.com/zh/wiki/%E8%81%8C%E5%91%98</t>
    </r>
  </si>
  <si>
    <r>
      <rPr>
        <sz val="20"/>
        <color rgb="FFFFFFFF"/>
        <rFont val="Microsoft YaHei"/>
        <charset val="134"/>
      </rPr>
      <t>是否开培训部科技</t>
    </r>
    <r>
      <rPr>
        <sz val="18"/>
        <color rgb="FFFFFFFF"/>
        <rFont val="微软雅黑"/>
        <charset val="134"/>
      </rPr>
      <t xml:space="preserve">
</t>
    </r>
    <r>
      <rPr>
        <sz val="12"/>
        <color rgb="FFFFFFFF"/>
        <rFont val="Microsoft YaHei"/>
        <charset val="134"/>
      </rPr>
      <t>(培训部科技“普及培训手册”)</t>
    </r>
  </si>
  <si>
    <r>
      <rPr>
        <sz val="20"/>
        <color rgb="FFFFFFFF"/>
        <rFont val="Microsoft YaHei"/>
        <charset val="134"/>
      </rPr>
      <t>员工品质属性</t>
    </r>
    <r>
      <rPr>
        <sz val="14"/>
        <color rgb="FFFFFFFF"/>
        <rFont val="Microsoft YaHei"/>
        <charset val="134"/>
      </rPr>
      <t xml:space="preserve">
</t>
    </r>
    <r>
      <rPr>
        <sz val="12"/>
        <color rgb="FFFFFFFF"/>
        <rFont val="Microsoft YaHei"/>
        <charset val="134"/>
      </rPr>
      <t>(要刷的那个属性当前的等级, 如谨慎2级)</t>
    </r>
  </si>
  <si>
    <t>Ⅴ</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</si>
</sst>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_);[Red]\(0\)"/>
  </numFmts>
  <fonts count="151">
    <font>
      <sz val="10"/>
      <color theme="1"/>
      <name val="等线"/>
      <charset val="134"/>
      <scheme val="minor"/>
    </font>
    <font>
      <sz val="22"/>
      <color rgb="FF000000"/>
      <name val="Microsoft YaHei"/>
      <charset val="134"/>
    </font>
    <font>
      <sz val="20"/>
      <color rgb="FFFFFFFF"/>
      <name val="Microsoft YaHei"/>
      <charset val="134"/>
    </font>
    <font>
      <sz val="20"/>
      <name val="等线"/>
      <charset val="134"/>
      <scheme val="minor"/>
    </font>
    <font>
      <sz val="12"/>
      <color rgb="FFFFFFFF"/>
      <name val="Microsoft YaHei"/>
      <charset val="134"/>
    </font>
    <font>
      <sz val="10"/>
      <color rgb="FFFFFFFF"/>
      <name val="等线"/>
      <charset val="134"/>
      <scheme val="minor"/>
    </font>
    <font>
      <b/>
      <sz val="22"/>
      <color rgb="FFDE3C36"/>
      <name val="Microsoft YaHei"/>
      <charset val="134"/>
    </font>
    <font>
      <b/>
      <sz val="22"/>
      <color rgb="FFDE3C36"/>
      <name val="等线"/>
      <charset val="134"/>
      <scheme val="minor"/>
    </font>
    <font>
      <sz val="14"/>
      <color rgb="FF000000"/>
      <name val="等线"/>
      <charset val="134"/>
      <scheme val="minor"/>
    </font>
    <font>
      <sz val="18"/>
      <color rgb="FFFFFFFF"/>
      <name val="等线"/>
      <charset val="134"/>
      <scheme val="minor"/>
    </font>
    <font>
      <sz val="18"/>
      <name val="等线"/>
      <charset val="134"/>
      <scheme val="minor"/>
    </font>
    <font>
      <sz val="14"/>
      <color rgb="FFFFFFFF"/>
      <name val="Microsoft YaHei"/>
      <charset val="134"/>
    </font>
    <font>
      <sz val="16"/>
      <color rgb="FF000000"/>
      <name val="等线"/>
      <charset val="134"/>
      <scheme val="minor"/>
    </font>
    <font>
      <sz val="10"/>
      <color rgb="FF000000"/>
      <name val="Segoe UI Symbol"/>
      <charset val="134"/>
    </font>
    <font>
      <sz val="22"/>
      <name val="等线"/>
      <charset val="134"/>
      <scheme val="minor"/>
    </font>
    <font>
      <b/>
      <sz val="16"/>
      <color rgb="FFFFFFFF"/>
      <name val="Microsoft YaHei"/>
      <charset val="134"/>
    </font>
    <font>
      <sz val="12"/>
      <color rgb="FF000000"/>
      <name val="Microsoft YaHei"/>
      <charset val="134"/>
    </font>
    <font>
      <sz val="12"/>
      <name val="Microsoft YaHei"/>
      <charset val="134"/>
    </font>
    <font>
      <sz val="10"/>
      <color rgb="FF000000"/>
      <name val="等线"/>
      <charset val="134"/>
      <scheme val="minor"/>
    </font>
    <font>
      <b/>
      <sz val="22"/>
      <color rgb="FF53AEEA"/>
      <name val="Microsoft YaHei"/>
      <charset val="134"/>
    </font>
    <font>
      <b/>
      <sz val="22"/>
      <color rgb="FF53AEEA"/>
      <name val="等线"/>
      <charset val="134"/>
      <scheme val="minor"/>
    </font>
    <font>
      <b/>
      <sz val="20"/>
      <color rgb="FFFFFFFF"/>
      <name val="Microsoft YaHei"/>
      <charset val="134"/>
    </font>
    <font>
      <sz val="12"/>
      <color rgb="FFFFFFFF"/>
      <name val="等线"/>
      <charset val="134"/>
      <scheme val="minor"/>
    </font>
    <font>
      <b/>
      <sz val="24"/>
      <color rgb="FFFFFFFF"/>
      <name val="Microsoft YaHei"/>
      <charset val="134"/>
    </font>
    <font>
      <b/>
      <sz val="36"/>
      <color rgb="FF53AEEA"/>
      <name val="Microsoft YaHei"/>
      <charset val="134"/>
    </font>
    <font>
      <sz val="36"/>
      <color rgb="FF53AEEA"/>
      <name val="Impact"/>
      <charset val="134"/>
    </font>
    <font>
      <sz val="18"/>
      <color rgb="FFFFFFFF"/>
      <name val="Microsoft YaHei"/>
      <charset val="134"/>
    </font>
    <font>
      <b/>
      <sz val="24"/>
      <color rgb="FF53AEEA"/>
      <name val="Microsoft YaHei"/>
      <charset val="134"/>
    </font>
    <font>
      <sz val="10"/>
      <color rgb="FF1450B8"/>
      <name val="等线"/>
      <charset val="134"/>
      <scheme val="minor"/>
    </font>
    <font>
      <sz val="11"/>
      <color rgb="FF000000"/>
      <name val="等线"/>
      <charset val="134"/>
    </font>
    <font>
      <sz val="10"/>
      <name val="等线"/>
      <charset val="134"/>
      <scheme val="minor"/>
    </font>
    <font>
      <sz val="9"/>
      <name val="Microsoft YaHei"/>
      <charset val="134"/>
    </font>
    <font>
      <sz val="9"/>
      <name val="等线"/>
      <charset val="134"/>
      <scheme val="minor"/>
    </font>
    <font>
      <b/>
      <sz val="14"/>
      <color rgb="FFFDFE9B"/>
      <name val="Microsoft YaHei"/>
      <charset val="134"/>
    </font>
    <font>
      <b/>
      <sz val="14"/>
      <color rgb="FFF4C243"/>
      <name val="Microsoft YaHei"/>
      <charset val="134"/>
    </font>
    <font>
      <sz val="11"/>
      <color rgb="FF000000"/>
      <name val="等线"/>
      <charset val="134"/>
      <scheme val="minor"/>
    </font>
    <font>
      <sz val="14"/>
      <color rgb="FFFDFE9B"/>
      <name val="等线"/>
      <charset val="134"/>
      <scheme val="minor"/>
    </font>
    <font>
      <sz val="14"/>
      <color rgb="FFFDFE9B"/>
      <name val="Microsoft YaHei"/>
      <charset val="134"/>
    </font>
    <font>
      <b/>
      <sz val="14"/>
      <color rgb="FFFFFFFF"/>
      <name val="Microsoft YaHei"/>
      <charset val="134"/>
    </font>
    <font>
      <b/>
      <sz val="16"/>
      <color rgb="FFFFFFFF"/>
      <name val="微软雅黑"/>
      <charset val="134"/>
    </font>
    <font>
      <b/>
      <sz val="16"/>
      <color rgb="FFFFFFFF"/>
      <name val="等线"/>
      <charset val="134"/>
      <scheme val="minor"/>
    </font>
    <font>
      <sz val="11"/>
      <name val="等线"/>
      <charset val="134"/>
    </font>
    <font>
      <sz val="14"/>
      <color rgb="FFFFFFFF"/>
      <name val="Impact"/>
      <charset val="134"/>
    </font>
    <font>
      <u/>
      <sz val="14"/>
      <color rgb="FFFFFFFF"/>
      <name val="微软雅黑"/>
      <charset val="134"/>
    </font>
    <font>
      <sz val="16"/>
      <color rgb="FF21AEFF"/>
      <name val="Impact"/>
      <charset val="134"/>
    </font>
    <font>
      <b/>
      <sz val="20"/>
      <color rgb="FFF4F72E"/>
      <name val="微软雅黑"/>
      <charset val="134"/>
    </font>
    <font>
      <b/>
      <sz val="20"/>
      <color rgb="FFF4F72E"/>
      <name val="Microsoft YaHei"/>
      <charset val="134"/>
    </font>
    <font>
      <b/>
      <sz val="20"/>
      <color rgb="FFF4F72E"/>
      <name val="等线"/>
      <charset val="134"/>
      <scheme val="minor"/>
    </font>
    <font>
      <b/>
      <sz val="18"/>
      <color rgb="FFFFFDA6"/>
      <name val="Microsoft YaHei"/>
      <charset val="134"/>
    </font>
    <font>
      <sz val="14"/>
      <color rgb="FFFFFFFF"/>
      <name val="微软雅黑"/>
      <charset val="134"/>
    </font>
    <font>
      <sz val="16"/>
      <color rgb="FF24FD06"/>
      <name val="Impact"/>
      <charset val="134"/>
    </font>
    <font>
      <b/>
      <sz val="20"/>
      <color rgb="FFFFFFFF"/>
      <name val="微软雅黑"/>
      <charset val="134"/>
    </font>
    <font>
      <sz val="11"/>
      <color rgb="FF4AC7B9"/>
      <name val="等线"/>
      <charset val="134"/>
    </font>
    <font>
      <sz val="16"/>
      <color rgb="FF8939FC"/>
      <name val="Impact"/>
      <charset val="134"/>
    </font>
    <font>
      <b/>
      <sz val="20"/>
      <color rgb="FFF42C3E"/>
      <name val="微软雅黑"/>
      <charset val="134"/>
    </font>
    <font>
      <b/>
      <sz val="20"/>
      <color rgb="FF70EF42"/>
      <name val="Microsoft YaHei"/>
      <charset val="134"/>
    </font>
    <font>
      <sz val="16"/>
      <color rgb="FFFFFF0B"/>
      <name val="Impact"/>
      <charset val="134"/>
    </font>
    <font>
      <b/>
      <sz val="20"/>
      <color rgb="FFF42C3E"/>
      <name val="Microsoft YaHei"/>
      <charset val="134"/>
    </font>
    <font>
      <b/>
      <sz val="20"/>
      <color rgb="FFF42C3E"/>
      <name val="等线"/>
      <charset val="134"/>
      <scheme val="minor"/>
    </font>
    <font>
      <sz val="16"/>
      <color rgb="FFEB0E0B"/>
      <name val="Impact"/>
      <charset val="134"/>
    </font>
    <font>
      <b/>
      <sz val="20"/>
      <color rgb="FFFFFFFF"/>
      <name val="等线"/>
      <charset val="134"/>
      <scheme val="minor"/>
    </font>
    <font>
      <b/>
      <sz val="20"/>
      <color rgb="FF70EF42"/>
      <name val="微软雅黑"/>
      <charset val="134"/>
    </font>
    <font>
      <b/>
      <sz val="20"/>
      <color rgb="FF70EF42"/>
      <name val="等线"/>
      <charset val="134"/>
      <scheme val="minor"/>
    </font>
    <font>
      <sz val="20"/>
      <color rgb="FFFFFFFF"/>
      <name val="微软雅黑"/>
      <charset val="134"/>
    </font>
    <font>
      <u/>
      <sz val="14"/>
      <color rgb="FFFFFFFF"/>
      <name val="Microsoft YaHei"/>
      <charset val="134"/>
    </font>
    <font>
      <sz val="14"/>
      <color rgb="FFFFFFFF"/>
      <name val="等线"/>
      <charset val="134"/>
      <scheme val="minor"/>
    </font>
    <font>
      <b/>
      <sz val="20"/>
      <color rgb="FFEB0E0B"/>
      <name val="Microsoft YaHei"/>
      <charset val="134"/>
    </font>
    <font>
      <sz val="8"/>
      <color rgb="FFFFFFFF"/>
      <name val="Impact"/>
      <charset val="134"/>
    </font>
    <font>
      <sz val="14"/>
      <name val="Impact"/>
      <charset val="134"/>
    </font>
    <font>
      <sz val="14"/>
      <name val="等线"/>
      <charset val="134"/>
    </font>
    <font>
      <sz val="11"/>
      <color rgb="FFFFFFFF"/>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color rgb="FFFFFDAD"/>
      <name val="Microsoft YaHei"/>
      <charset val="134"/>
    </font>
    <font>
      <b/>
      <sz val="12"/>
      <color rgb="FFDE3C36"/>
      <name val="Microsoft YaHei"/>
      <charset val="134"/>
    </font>
    <font>
      <sz val="12"/>
      <color rgb="FFDE3C36"/>
      <name val="Microsoft YaHei"/>
      <charset val="134"/>
    </font>
    <font>
      <sz val="18"/>
      <color rgb="FFFFFFFF"/>
      <name val="微软雅黑"/>
      <charset val="134"/>
    </font>
    <font>
      <u/>
      <sz val="12"/>
      <color rgb="FF175CEB"/>
      <name val="Microsoft YaHei"/>
      <charset val="134"/>
    </font>
    <font>
      <sz val="10"/>
      <color rgb="FF000000"/>
      <name val="宋体"/>
      <charset val="134"/>
    </font>
    <font>
      <b/>
      <sz val="16"/>
      <color rgb="FFEB0E0B"/>
      <name val="微软雅黑"/>
      <charset val="134"/>
    </font>
    <font>
      <b/>
      <sz val="16"/>
      <color rgb="FF21AEFF"/>
      <name val="微软雅黑"/>
      <charset val="134"/>
    </font>
    <font>
      <sz val="12"/>
      <color rgb="FFFFFFFF"/>
      <charset val="134"/>
    </font>
    <font>
      <b/>
      <sz val="12"/>
      <color rgb="FF70EF42"/>
      <name val="Microsoft YaHei"/>
      <charset val="134"/>
    </font>
    <font>
      <b/>
      <sz val="12"/>
      <color rgb="FFFDFE9B"/>
      <name val="Microsoft YaHei"/>
      <charset val="134"/>
    </font>
    <font>
      <b/>
      <sz val="12"/>
      <color rgb="FFF42C3E"/>
      <name val="Microsoft YaHei"/>
      <charset val="134"/>
    </font>
    <font>
      <sz val="12"/>
      <color rgb="FFFFFFFF"/>
      <name val="微软雅黑"/>
      <charset val="134"/>
    </font>
    <font>
      <sz val="12"/>
      <color rgb="FF70EF42"/>
      <name val="微软雅黑"/>
      <charset val="134"/>
    </font>
    <font>
      <sz val="12"/>
      <color rgb="FFFDFE9B"/>
      <name val="微软雅黑"/>
      <charset val="134"/>
    </font>
    <font>
      <sz val="12"/>
      <color rgb="FFF42C3E"/>
      <name val="微软雅黑"/>
      <charset val="134"/>
    </font>
    <font>
      <b/>
      <sz val="12"/>
      <color rgb="FFFFFFFF"/>
      <name val="微软雅黑"/>
      <charset val="134"/>
    </font>
    <font>
      <b/>
      <sz val="12"/>
      <color rgb="FFF42C3E"/>
      <name val="微软雅黑"/>
      <charset val="134"/>
    </font>
    <font>
      <sz val="12"/>
      <color rgb="FF8939FC"/>
      <name val="微软雅黑"/>
      <charset val="134"/>
    </font>
    <font>
      <sz val="12"/>
      <color rgb="FFFFFF0B"/>
      <name val="微软雅黑"/>
      <charset val="134"/>
    </font>
    <font>
      <sz val="12"/>
      <color rgb="FF21AEFF"/>
      <name val="微软雅黑"/>
      <charset val="134"/>
    </font>
    <font>
      <sz val="6"/>
      <color rgb="FFFFFFFF"/>
      <name val="微软雅黑"/>
      <charset val="134"/>
    </font>
    <font>
      <b/>
      <sz val="12"/>
      <color rgb="FF21AEFF"/>
      <name val="Microsoft YaHei"/>
      <charset val="134"/>
    </font>
    <font>
      <b/>
      <sz val="12"/>
      <color rgb="FF7F7F7F"/>
      <name val="Microsoft YaHei"/>
      <charset val="134"/>
    </font>
    <font>
      <b/>
      <sz val="12"/>
      <color rgb="FF21AEFF"/>
      <name val="微软雅黑"/>
      <charset val="134"/>
    </font>
    <font>
      <b/>
      <sz val="14"/>
      <color rgb="FFC00000"/>
      <name val="Microsoft YaHei"/>
      <charset val="134"/>
    </font>
    <font>
      <b/>
      <sz val="14"/>
      <color rgb="FFCB2743"/>
      <name val="Microsoft YaHei"/>
      <charset val="134"/>
    </font>
    <font>
      <sz val="14"/>
      <color rgb="FFEEECBF"/>
      <name val="Microsoft YaHei"/>
      <charset val="134"/>
    </font>
    <font>
      <sz val="14"/>
      <color rgb="FFA562AD"/>
      <name val="Microsoft YaHei"/>
      <charset val="134"/>
    </font>
    <font>
      <sz val="14"/>
      <color rgb="FF3FCDBD"/>
      <name val="Microsoft YaHei"/>
      <charset val="134"/>
    </font>
    <font>
      <b/>
      <sz val="12"/>
      <color rgb="FF24FD06"/>
      <name val="Microsoft YaHei"/>
      <charset val="134"/>
    </font>
    <font>
      <b/>
      <sz val="12"/>
      <color rgb="FF24FD06"/>
      <name val="微软雅黑"/>
      <charset val="134"/>
    </font>
    <font>
      <b/>
      <sz val="14"/>
      <color rgb="FFFFF9E3"/>
      <name val="Microsoft YaHei"/>
      <charset val="134"/>
    </font>
    <font>
      <sz val="14"/>
      <color rgb="FFCB2743"/>
      <name val="Microsoft YaHei"/>
      <charset val="134"/>
    </font>
    <font>
      <b/>
      <sz val="12"/>
      <color rgb="FF8939FC"/>
      <name val="Microsoft YaHei"/>
      <charset val="134"/>
    </font>
    <font>
      <b/>
      <sz val="12"/>
      <color rgb="FF8939FC"/>
      <name val="微软雅黑"/>
      <charset val="134"/>
    </font>
    <font>
      <b/>
      <sz val="14"/>
      <color rgb="FFD58EFF"/>
      <name val="Microsoft YaHei"/>
      <charset val="134"/>
    </font>
    <font>
      <b/>
      <sz val="14"/>
      <color rgb="FF00B0F0"/>
      <name val="Microsoft YaHei"/>
      <charset val="134"/>
    </font>
    <font>
      <b/>
      <sz val="14"/>
      <color rgb="FF00B050"/>
      <name val="Microsoft YaHei"/>
      <charset val="134"/>
    </font>
    <font>
      <b/>
      <sz val="14"/>
      <color rgb="FFA562AD"/>
      <name val="Microsoft YaHei"/>
      <charset val="134"/>
    </font>
    <font>
      <b/>
      <sz val="12"/>
      <color rgb="FFFFFF0B"/>
      <name val="Microsoft YaHei"/>
      <charset val="134"/>
    </font>
    <font>
      <b/>
      <sz val="12"/>
      <color rgb="FFFFFF0B"/>
      <name val="微软雅黑"/>
      <charset val="134"/>
    </font>
    <font>
      <b/>
      <sz val="14"/>
      <color rgb="FFEEECBF"/>
      <name val="Microsoft YaHei"/>
      <charset val="134"/>
    </font>
    <font>
      <b/>
      <sz val="12"/>
      <color rgb="FFEB0E0B"/>
      <name val="Microsoft YaHei"/>
      <charset val="134"/>
    </font>
    <font>
      <b/>
      <sz val="12"/>
      <color rgb="FFEB0E0B"/>
      <name val="微软雅黑"/>
      <charset val="134"/>
    </font>
    <font>
      <sz val="20"/>
      <color rgb="FFF4F72E"/>
      <name val="Microsoft YaHei"/>
      <charset val="134"/>
    </font>
    <font>
      <sz val="20"/>
      <color rgb="FFF42C3E"/>
      <name val="Microsoft YaHei"/>
      <charset val="134"/>
    </font>
    <font>
      <b/>
      <sz val="14"/>
      <color rgb="FFEB0E0B"/>
      <name val="Microsoft YaHei"/>
      <charset val="134"/>
    </font>
    <font>
      <b/>
      <sz val="14"/>
      <color rgb="FF7F7F7F"/>
      <name val="Microsoft YaHei"/>
      <charset val="134"/>
    </font>
    <font>
      <sz val="20"/>
      <color rgb="FF70EF42"/>
      <charset val="134"/>
    </font>
    <font>
      <b/>
      <sz val="14"/>
      <color rgb="FF99DDFF"/>
      <name val="Microsoft YaHei"/>
      <charset val="134"/>
    </font>
    <font>
      <b/>
      <sz val="14"/>
      <color rgb="FF3FCDBD"/>
      <name val="Microsoft YaHei"/>
      <charset val="134"/>
    </font>
    <font>
      <b/>
      <sz val="20"/>
      <color rgb="FFDE3C36"/>
      <name val="Microsoft YaHei"/>
      <charset val="134"/>
    </font>
    <font>
      <sz val="14"/>
      <color rgb="FF99DDFF"/>
      <name val="Microsoft YaHei"/>
      <charset val="134"/>
    </font>
    <font>
      <sz val="14"/>
      <color rgb="FFD58EFF"/>
      <name val="Microsoft YaHei"/>
      <charset val="134"/>
    </font>
    <font>
      <b/>
      <sz val="11"/>
      <color rgb="FF8939FC"/>
      <name val="Microsoft YaHei"/>
      <charset val="134"/>
    </font>
    <font>
      <b/>
      <sz val="11"/>
      <color rgb="FF7F7F7F"/>
      <name val="Microsoft YaHei"/>
      <charset val="134"/>
    </font>
    <font>
      <sz val="14"/>
      <color rgb="FFFFF9E3"/>
      <name val="Microsoft YaHei"/>
      <charset val="134"/>
    </font>
    <font>
      <sz val="8"/>
      <color rgb="FFFFFFFF"/>
      <name val="等线"/>
      <charset val="134"/>
    </font>
    <font>
      <sz val="10"/>
      <name val="宋体"/>
      <charset val="134"/>
    </font>
  </fonts>
  <fills count="37">
    <fill>
      <patternFill patternType="none"/>
    </fill>
    <fill>
      <patternFill patternType="gray125"/>
    </fill>
    <fill>
      <patternFill patternType="solid">
        <fgColor rgb="FF000000"/>
        <bgColor indexed="64"/>
      </patternFill>
    </fill>
    <fill>
      <patternFill patternType="solid">
        <fgColor rgb="FFAE2E19"/>
        <bgColor indexed="64"/>
      </patternFill>
    </fill>
    <fill>
      <patternFill patternType="solid">
        <fgColor rgb="FFDE3C36"/>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ck">
        <color rgb="FFAE2E19"/>
      </left>
      <right/>
      <top style="thick">
        <color rgb="FFAE2E19"/>
      </top>
      <bottom/>
      <diagonal/>
    </border>
    <border>
      <left/>
      <right/>
      <top style="thick">
        <color rgb="FFAE2E19"/>
      </top>
      <bottom/>
      <diagonal/>
    </border>
    <border>
      <left style="thick">
        <color rgb="FFAE2E19"/>
      </left>
      <right/>
      <top/>
      <bottom/>
      <diagonal/>
    </border>
    <border>
      <left/>
      <right/>
      <top/>
      <bottom style="thick">
        <color rgb="FFAE2E19"/>
      </bottom>
      <diagonal/>
    </border>
    <border>
      <left style="thick">
        <color rgb="FF1450B8"/>
      </left>
      <right/>
      <top style="thick">
        <color rgb="FF1450B8"/>
      </top>
      <bottom/>
      <diagonal/>
    </border>
    <border>
      <left/>
      <right/>
      <top style="thick">
        <color rgb="FF1450B8"/>
      </top>
      <bottom/>
      <diagonal/>
    </border>
    <border>
      <left style="thick">
        <color rgb="FF1450B8"/>
      </left>
      <right/>
      <top/>
      <bottom/>
      <diagonal/>
    </border>
    <border>
      <left style="thick">
        <color rgb="FF1450B8"/>
      </left>
      <right/>
      <top/>
      <bottom style="thick">
        <color rgb="FF1450B8"/>
      </bottom>
      <diagonal/>
    </border>
    <border>
      <left/>
      <right/>
      <top/>
      <bottom style="thick">
        <color rgb="FF1450B8"/>
      </bottom>
      <diagonal/>
    </border>
    <border>
      <left/>
      <right style="thick">
        <color rgb="FFAE2E19"/>
      </right>
      <top style="thick">
        <color rgb="FFAE2E19"/>
      </top>
      <bottom/>
      <diagonal/>
    </border>
    <border>
      <left/>
      <right style="thick">
        <color rgb="FFAE2E19"/>
      </right>
      <top/>
      <bottom/>
      <diagonal/>
    </border>
    <border>
      <left/>
      <right style="thick">
        <color rgb="FFAE2E19"/>
      </right>
      <top/>
      <bottom style="thick">
        <color rgb="FFAE2E19"/>
      </bottom>
      <diagonal/>
    </border>
    <border>
      <left/>
      <right style="thick">
        <color rgb="FF1450B8"/>
      </right>
      <top style="thick">
        <color rgb="FF1450B8"/>
      </top>
      <bottom/>
      <diagonal/>
    </border>
    <border>
      <left/>
      <right style="thick">
        <color rgb="FF1450B8"/>
      </right>
      <top/>
      <bottom/>
      <diagonal/>
    </border>
    <border>
      <left/>
      <right style="thick">
        <color rgb="FF1450B8"/>
      </right>
      <top/>
      <bottom style="thick">
        <color rgb="FF1450B8"/>
      </bottom>
      <diagonal/>
    </border>
    <border>
      <left style="thick">
        <color rgb="FFAE2E19"/>
      </left>
      <right style="thick">
        <color rgb="FFAE2E19"/>
      </right>
      <top style="thick">
        <color rgb="FFAE2E19"/>
      </top>
      <bottom/>
      <diagonal/>
    </border>
    <border>
      <left/>
      <right/>
      <top/>
      <bottom style="double">
        <color rgb="FFFDFE9B"/>
      </bottom>
      <diagonal/>
    </border>
    <border>
      <left/>
      <right/>
      <top/>
      <bottom style="thin">
        <color rgb="FFFDFE9B"/>
      </bottom>
      <diagonal/>
    </border>
    <border>
      <left/>
      <right/>
      <top style="double">
        <color rgb="FFFFFDA6"/>
      </top>
      <bottom/>
      <diagonal/>
    </border>
    <border>
      <left/>
      <right/>
      <top style="thin">
        <color rgb="FFFFFDA6"/>
      </top>
      <bottom/>
      <diagonal/>
    </border>
    <border>
      <left/>
      <right/>
      <top/>
      <bottom style="thin">
        <color rgb="FFFFFDA6"/>
      </bottom>
      <diagonal/>
    </border>
    <border>
      <left/>
      <right/>
      <top style="thin">
        <color rgb="FFFDFE9B"/>
      </top>
      <bottom/>
      <diagonal/>
    </border>
    <border>
      <left/>
      <right/>
      <top style="thin">
        <color rgb="FFFDFE9B"/>
      </top>
      <bottom style="thin">
        <color rgb="FFFDFE9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71" fillId="0" borderId="0">
      <alignment vertical="center"/>
    </xf>
    <xf numFmtId="43" fontId="71" fillId="0" borderId="0" applyFont="0" applyFill="0" applyBorder="0" applyAlignment="0" applyProtection="0">
      <alignment vertical="center"/>
    </xf>
    <xf numFmtId="44" fontId="71" fillId="0" borderId="0" applyFont="0" applyFill="0" applyBorder="0" applyAlignment="0" applyProtection="0">
      <alignment vertical="center"/>
    </xf>
    <xf numFmtId="9" fontId="71" fillId="0" borderId="0" applyFont="0" applyFill="0" applyBorder="0" applyAlignment="0" applyProtection="0">
      <alignment vertical="center"/>
    </xf>
    <xf numFmtId="41" fontId="71" fillId="0" borderId="0" applyFont="0" applyFill="0" applyBorder="0" applyAlignment="0" applyProtection="0">
      <alignment vertical="center"/>
    </xf>
    <xf numFmtId="42" fontId="71" fillId="0" borderId="0" applyFon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1" fillId="6" borderId="24" applyNumberFormat="0" applyFont="0" applyAlignment="0" applyProtection="0">
      <alignment vertical="center"/>
    </xf>
    <xf numFmtId="0" fontId="74"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6" fillId="0" borderId="0" applyNumberFormat="0" applyFill="0" applyBorder="0" applyAlignment="0" applyProtection="0">
      <alignment vertical="center"/>
    </xf>
    <xf numFmtId="0" fontId="77" fillId="0" borderId="25" applyNumberFormat="0" applyFill="0" applyAlignment="0" applyProtection="0">
      <alignment vertical="center"/>
    </xf>
    <xf numFmtId="0" fontId="78" fillId="0" borderId="25" applyNumberFormat="0" applyFill="0" applyAlignment="0" applyProtection="0">
      <alignment vertical="center"/>
    </xf>
    <xf numFmtId="0" fontId="79" fillId="0" borderId="26" applyNumberFormat="0" applyFill="0" applyAlignment="0" applyProtection="0">
      <alignment vertical="center"/>
    </xf>
    <xf numFmtId="0" fontId="79" fillId="0" borderId="0" applyNumberFormat="0" applyFill="0" applyBorder="0" applyAlignment="0" applyProtection="0">
      <alignment vertical="center"/>
    </xf>
    <xf numFmtId="0" fontId="80" fillId="7" borderId="27" applyNumberFormat="0" applyAlignment="0" applyProtection="0">
      <alignment vertical="center"/>
    </xf>
    <xf numFmtId="0" fontId="81" fillId="8" borderId="28" applyNumberFormat="0" applyAlignment="0" applyProtection="0">
      <alignment vertical="center"/>
    </xf>
    <xf numFmtId="0" fontId="82" fillId="8" borderId="27" applyNumberFormat="0" applyAlignment="0" applyProtection="0">
      <alignment vertical="center"/>
    </xf>
    <xf numFmtId="0" fontId="83" fillId="9" borderId="29" applyNumberFormat="0" applyAlignment="0" applyProtection="0">
      <alignment vertical="center"/>
    </xf>
    <xf numFmtId="0" fontId="84" fillId="0" borderId="30" applyNumberFormat="0" applyFill="0" applyAlignment="0" applyProtection="0">
      <alignment vertical="center"/>
    </xf>
    <xf numFmtId="0" fontId="85" fillId="0" borderId="31" applyNumberFormat="0" applyFill="0" applyAlignment="0" applyProtection="0">
      <alignment vertical="center"/>
    </xf>
    <xf numFmtId="0" fontId="86" fillId="10" borderId="0" applyNumberFormat="0" applyBorder="0" applyAlignment="0" applyProtection="0">
      <alignment vertical="center"/>
    </xf>
    <xf numFmtId="0" fontId="87" fillId="11" borderId="0" applyNumberFormat="0" applyBorder="0" applyAlignment="0" applyProtection="0">
      <alignment vertical="center"/>
    </xf>
    <xf numFmtId="0" fontId="88" fillId="12" borderId="0" applyNumberFormat="0" applyBorder="0" applyAlignment="0" applyProtection="0">
      <alignment vertical="center"/>
    </xf>
    <xf numFmtId="0" fontId="89" fillId="13" borderId="0" applyNumberFormat="0" applyBorder="0" applyAlignment="0" applyProtection="0">
      <alignment vertical="center"/>
    </xf>
    <xf numFmtId="0" fontId="90" fillId="14" borderId="0" applyNumberFormat="0" applyBorder="0" applyAlignment="0" applyProtection="0">
      <alignment vertical="center"/>
    </xf>
    <xf numFmtId="0" fontId="90" fillId="15" borderId="0" applyNumberFormat="0" applyBorder="0" applyAlignment="0" applyProtection="0">
      <alignment vertical="center"/>
    </xf>
    <xf numFmtId="0" fontId="89" fillId="16" borderId="0" applyNumberFormat="0" applyBorder="0" applyAlignment="0" applyProtection="0">
      <alignment vertical="center"/>
    </xf>
    <xf numFmtId="0" fontId="89" fillId="17" borderId="0" applyNumberFormat="0" applyBorder="0" applyAlignment="0" applyProtection="0">
      <alignment vertical="center"/>
    </xf>
    <xf numFmtId="0" fontId="90" fillId="18" borderId="0" applyNumberFormat="0" applyBorder="0" applyAlignment="0" applyProtection="0">
      <alignment vertical="center"/>
    </xf>
    <xf numFmtId="0" fontId="90" fillId="19" borderId="0" applyNumberFormat="0" applyBorder="0" applyAlignment="0" applyProtection="0">
      <alignment vertical="center"/>
    </xf>
    <xf numFmtId="0" fontId="89" fillId="20" borderId="0" applyNumberFormat="0" applyBorder="0" applyAlignment="0" applyProtection="0">
      <alignment vertical="center"/>
    </xf>
    <xf numFmtId="0" fontId="89" fillId="21" borderId="0" applyNumberFormat="0" applyBorder="0" applyAlignment="0" applyProtection="0">
      <alignment vertical="center"/>
    </xf>
    <xf numFmtId="0" fontId="90" fillId="22" borderId="0" applyNumberFormat="0" applyBorder="0" applyAlignment="0" applyProtection="0">
      <alignment vertical="center"/>
    </xf>
    <xf numFmtId="0" fontId="90" fillId="23" borderId="0" applyNumberFormat="0" applyBorder="0" applyAlignment="0" applyProtection="0">
      <alignment vertical="center"/>
    </xf>
    <xf numFmtId="0" fontId="89" fillId="24" borderId="0" applyNumberFormat="0" applyBorder="0" applyAlignment="0" applyProtection="0">
      <alignment vertical="center"/>
    </xf>
    <xf numFmtId="0" fontId="89" fillId="25" borderId="0" applyNumberFormat="0" applyBorder="0" applyAlignment="0" applyProtection="0">
      <alignment vertical="center"/>
    </xf>
    <xf numFmtId="0" fontId="90" fillId="26" borderId="0" applyNumberFormat="0" applyBorder="0" applyAlignment="0" applyProtection="0">
      <alignment vertical="center"/>
    </xf>
    <xf numFmtId="0" fontId="90" fillId="27" borderId="0" applyNumberFormat="0" applyBorder="0" applyAlignment="0" applyProtection="0">
      <alignment vertical="center"/>
    </xf>
    <xf numFmtId="0" fontId="89" fillId="28" borderId="0" applyNumberFormat="0" applyBorder="0" applyAlignment="0" applyProtection="0">
      <alignment vertical="center"/>
    </xf>
    <xf numFmtId="0" fontId="89" fillId="29" borderId="0" applyNumberFormat="0" applyBorder="0" applyAlignment="0" applyProtection="0">
      <alignment vertical="center"/>
    </xf>
    <xf numFmtId="0" fontId="90" fillId="30" borderId="0" applyNumberFormat="0" applyBorder="0" applyAlignment="0" applyProtection="0">
      <alignment vertical="center"/>
    </xf>
    <xf numFmtId="0" fontId="90" fillId="31" borderId="0" applyNumberFormat="0" applyBorder="0" applyAlignment="0" applyProtection="0">
      <alignment vertical="center"/>
    </xf>
    <xf numFmtId="0" fontId="89" fillId="32" borderId="0" applyNumberFormat="0" applyBorder="0" applyAlignment="0" applyProtection="0">
      <alignment vertical="center"/>
    </xf>
    <xf numFmtId="0" fontId="89" fillId="33" borderId="0" applyNumberFormat="0" applyBorder="0" applyAlignment="0" applyProtection="0">
      <alignment vertical="center"/>
    </xf>
    <xf numFmtId="0" fontId="90" fillId="34" borderId="0" applyNumberFormat="0" applyBorder="0" applyAlignment="0" applyProtection="0">
      <alignment vertical="center"/>
    </xf>
    <xf numFmtId="0" fontId="90" fillId="35" borderId="0" applyNumberFormat="0" applyBorder="0" applyAlignment="0" applyProtection="0">
      <alignment vertical="center"/>
    </xf>
    <xf numFmtId="0" fontId="89" fillId="36" borderId="0" applyNumberFormat="0" applyBorder="0" applyAlignment="0" applyProtection="0">
      <alignment vertical="center"/>
    </xf>
  </cellStyleXfs>
  <cellXfs count="161">
    <xf numFmtId="0" fontId="0" fillId="0" borderId="0" xfId="0" applyFont="1">
      <alignment vertical="center"/>
    </xf>
    <xf numFmtId="0" fontId="1" fillId="2" borderId="0" xfId="0" applyFont="1" applyFill="1" applyAlignment="1">
      <alignment horizontal="center" vertical="center"/>
    </xf>
    <xf numFmtId="0" fontId="2" fillId="2" borderId="0" xfId="0" applyFont="1" applyFill="1" applyAlignment="1">
      <alignment horizontal="center" vertical="top" wrapText="1"/>
    </xf>
    <xf numFmtId="0" fontId="3" fillId="0" borderId="0" xfId="0" applyFont="1" applyAlignment="1">
      <alignment horizontal="center" vertical="center"/>
    </xf>
    <xf numFmtId="0" fontId="4" fillId="2" borderId="0" xfId="0" applyFont="1" applyFill="1" applyAlignment="1">
      <alignment horizontal="left" vertical="top" wrapText="1"/>
    </xf>
    <xf numFmtId="0" fontId="5" fillId="0" borderId="0" xfId="0" applyFont="1">
      <alignment vertical="center"/>
    </xf>
    <xf numFmtId="0" fontId="6" fillId="2" borderId="1" xfId="0" applyFont="1" applyFill="1" applyBorder="1" applyAlignment="1">
      <alignment horizontal="center" vertical="center"/>
    </xf>
    <xf numFmtId="0" fontId="7" fillId="0" borderId="2" xfId="0" applyFont="1" applyBorder="1">
      <alignment vertical="center"/>
    </xf>
    <xf numFmtId="0" fontId="8" fillId="2" borderId="0" xfId="0" applyFont="1" applyFill="1" applyAlignment="1">
      <alignment horizontal="center" vertical="center"/>
    </xf>
    <xf numFmtId="0" fontId="9" fillId="2" borderId="3" xfId="0" applyFont="1" applyFill="1" applyBorder="1" applyAlignment="1">
      <alignment horizontal="center" vertical="center" wrapText="1"/>
    </xf>
    <xf numFmtId="0" fontId="10" fillId="0" borderId="0" xfId="0" applyFont="1" applyAlignment="1">
      <alignment horizontal="center" vertical="center" wrapText="1"/>
    </xf>
    <xf numFmtId="0" fontId="11" fillId="2" borderId="0" xfId="0" applyFont="1" applyFill="1" applyAlignment="1">
      <alignment horizontal="center" vertical="center" wrapText="1"/>
    </xf>
    <xf numFmtId="0" fontId="2" fillId="2" borderId="0" xfId="0" applyFont="1" applyFill="1" applyAlignment="1">
      <alignment horizontal="center" vertical="center"/>
    </xf>
    <xf numFmtId="0" fontId="3" fillId="0" borderId="0" xfId="0" applyFont="1">
      <alignment vertical="center"/>
    </xf>
    <xf numFmtId="0" fontId="12" fillId="2" borderId="0" xfId="0" applyFont="1" applyFill="1" applyAlignment="1">
      <alignment vertical="center" wrapText="1"/>
    </xf>
    <xf numFmtId="0" fontId="13" fillId="0" borderId="0" xfId="0" applyFont="1" applyAlignment="1">
      <alignment horizontal="center" vertical="center"/>
    </xf>
    <xf numFmtId="0" fontId="14" fillId="0" borderId="4" xfId="0" applyFont="1" applyBorder="1" applyAlignment="1">
      <alignment horizontal="center" vertical="center"/>
    </xf>
    <xf numFmtId="0" fontId="15" fillId="3" borderId="4" xfId="0" applyFont="1" applyFill="1" applyBorder="1" applyAlignment="1">
      <alignment horizontal="center" vertical="center"/>
    </xf>
    <xf numFmtId="0" fontId="0" fillId="0" borderId="4" xfId="0" applyFont="1" applyBorder="1">
      <alignment vertical="center"/>
    </xf>
    <xf numFmtId="0" fontId="16" fillId="2" borderId="0" xfId="0" applyFont="1" applyFill="1" applyAlignment="1">
      <alignment horizontal="left" vertical="center"/>
    </xf>
    <xf numFmtId="0" fontId="17" fillId="0" borderId="0" xfId="0" applyFont="1" applyAlignment="1">
      <alignment horizontal="left" vertical="center"/>
    </xf>
    <xf numFmtId="0" fontId="17" fillId="2" borderId="0" xfId="0" applyFont="1" applyFill="1" applyAlignment="1">
      <alignment horizontal="left" vertical="center"/>
    </xf>
    <xf numFmtId="0" fontId="0" fillId="2" borderId="0" xfId="0" applyFont="1" applyFill="1">
      <alignment vertical="center"/>
    </xf>
    <xf numFmtId="0" fontId="18" fillId="2" borderId="0" xfId="0" applyFont="1" applyFill="1">
      <alignment vertical="center"/>
    </xf>
    <xf numFmtId="0" fontId="19" fillId="2" borderId="5" xfId="0" applyFont="1" applyFill="1" applyBorder="1" applyAlignment="1">
      <alignment horizontal="center" vertical="center"/>
    </xf>
    <xf numFmtId="0" fontId="20" fillId="0" borderId="6" xfId="0" applyFont="1" applyBorder="1">
      <alignment vertical="center"/>
    </xf>
    <xf numFmtId="0" fontId="21" fillId="2" borderId="7" xfId="0" applyFont="1" applyFill="1" applyBorder="1" applyAlignment="1">
      <alignment horizontal="center" vertical="center" wrapText="1"/>
    </xf>
    <xf numFmtId="0" fontId="22" fillId="2" borderId="0" xfId="0" applyFont="1" applyFill="1" applyAlignment="1">
      <alignment horizontal="center" vertical="center"/>
    </xf>
    <xf numFmtId="0" fontId="5" fillId="2" borderId="0" xfId="0" applyFont="1" applyFill="1" applyAlignment="1">
      <alignment horizontal="center" vertical="center"/>
    </xf>
    <xf numFmtId="0" fontId="3" fillId="0" borderId="7" xfId="0" applyFont="1" applyBorder="1" applyAlignment="1">
      <alignment vertical="center" wrapText="1"/>
    </xf>
    <xf numFmtId="0" fontId="23" fillId="2" borderId="0" xfId="0" applyFont="1" applyFill="1" applyAlignment="1">
      <alignment horizontal="center" vertical="center"/>
    </xf>
    <xf numFmtId="176" fontId="24" fillId="2" borderId="0" xfId="0" applyNumberFormat="1" applyFont="1" applyFill="1" applyAlignment="1">
      <alignment horizontal="center" vertical="center"/>
    </xf>
    <xf numFmtId="176" fontId="25" fillId="0" borderId="0" xfId="0" applyNumberFormat="1" applyFont="1" applyAlignment="1">
      <alignment horizontal="center" vertical="center"/>
    </xf>
    <xf numFmtId="0" fontId="5" fillId="2" borderId="8" xfId="0" applyFont="1" applyFill="1" applyBorder="1">
      <alignment vertical="center"/>
    </xf>
    <xf numFmtId="0" fontId="26" fillId="2" borderId="9" xfId="0" applyFont="1" applyFill="1" applyBorder="1" applyAlignment="1">
      <alignment horizontal="right" vertical="center"/>
    </xf>
    <xf numFmtId="0" fontId="9" fillId="2" borderId="9" xfId="0" applyFont="1" applyFill="1" applyBorder="1" applyAlignment="1">
      <alignment horizontal="center" vertical="center"/>
    </xf>
    <xf numFmtId="177" fontId="27" fillId="2" borderId="9" xfId="0" applyNumberFormat="1" applyFont="1" applyFill="1" applyBorder="1" applyAlignment="1">
      <alignment horizontal="center" vertical="center"/>
    </xf>
    <xf numFmtId="0" fontId="26" fillId="2" borderId="9" xfId="0" applyFont="1" applyFill="1" applyBorder="1" applyAlignment="1">
      <alignment horizontal="left" vertical="center"/>
    </xf>
    <xf numFmtId="0" fontId="5" fillId="2" borderId="9" xfId="0" applyFont="1" applyFill="1" applyBorder="1">
      <alignment vertical="center"/>
    </xf>
    <xf numFmtId="0" fontId="18" fillId="2" borderId="0" xfId="0" applyFont="1" applyFill="1" applyAlignment="1">
      <alignment horizontal="center" vertical="center"/>
    </xf>
    <xf numFmtId="0" fontId="0" fillId="2" borderId="0" xfId="0" applyFont="1" applyFill="1" applyAlignment="1">
      <alignment horizontal="center" vertical="center"/>
    </xf>
    <xf numFmtId="0" fontId="7" fillId="0" borderId="10" xfId="0" applyFont="1" applyBorder="1">
      <alignment vertical="center"/>
    </xf>
    <xf numFmtId="0" fontId="3" fillId="0" borderId="11" xfId="0" applyFont="1" applyBorder="1">
      <alignment vertical="center"/>
    </xf>
    <xf numFmtId="0" fontId="0" fillId="0" borderId="12" xfId="0" applyFont="1" applyBorder="1">
      <alignment vertical="center"/>
    </xf>
    <xf numFmtId="0" fontId="28" fillId="2" borderId="0" xfId="0" applyFont="1" applyFill="1">
      <alignment vertical="center"/>
    </xf>
    <xf numFmtId="0" fontId="20" fillId="0" borderId="13" xfId="0" applyFont="1" applyBorder="1">
      <alignment vertical="center"/>
    </xf>
    <xf numFmtId="0" fontId="29" fillId="2" borderId="0" xfId="0" applyFont="1" applyFill="1" applyAlignment="1">
      <alignment horizontal="center" wrapText="1"/>
    </xf>
    <xf numFmtId="0" fontId="22" fillId="2" borderId="14" xfId="0" applyFont="1" applyFill="1" applyBorder="1" applyAlignment="1">
      <alignment horizontal="center" vertical="center"/>
    </xf>
    <xf numFmtId="0" fontId="29" fillId="2" borderId="0" xfId="0" applyFont="1" applyFill="1" applyAlignment="1">
      <alignment horizontal="center"/>
    </xf>
    <xf numFmtId="0" fontId="23" fillId="2" borderId="14" xfId="0" applyFont="1" applyFill="1" applyBorder="1" applyAlignment="1">
      <alignment horizontal="center" vertical="center"/>
    </xf>
    <xf numFmtId="176" fontId="25" fillId="0" borderId="14" xfId="0" applyNumberFormat="1" applyFont="1" applyBorder="1" applyAlignment="1">
      <alignment horizontal="center" vertical="center"/>
    </xf>
    <xf numFmtId="0" fontId="5" fillId="2" borderId="15" xfId="0" applyFont="1" applyFill="1" applyBorder="1">
      <alignment vertical="center"/>
    </xf>
    <xf numFmtId="0" fontId="19" fillId="2" borderId="0" xfId="0" applyFont="1" applyFill="1" applyAlignment="1">
      <alignment vertical="top" wrapText="1"/>
    </xf>
    <xf numFmtId="0" fontId="6" fillId="2" borderId="16" xfId="0" applyFont="1" applyFill="1" applyBorder="1" applyAlignment="1">
      <alignment horizontal="center" vertical="center"/>
    </xf>
    <xf numFmtId="0" fontId="0" fillId="0" borderId="16" xfId="0" applyFont="1" applyBorder="1">
      <alignment vertical="center"/>
    </xf>
    <xf numFmtId="0" fontId="30" fillId="2" borderId="3" xfId="0" applyFont="1" applyFill="1" applyBorder="1" applyAlignment="1">
      <alignment horizontal="center" vertical="center" wrapText="1"/>
    </xf>
    <xf numFmtId="0" fontId="30" fillId="0" borderId="3" xfId="0" applyFont="1" applyBorder="1">
      <alignment vertical="center"/>
    </xf>
    <xf numFmtId="0" fontId="2" fillId="2" borderId="11" xfId="0" applyFont="1" applyFill="1" applyBorder="1" applyAlignment="1">
      <alignment horizontal="center" vertical="center"/>
    </xf>
    <xf numFmtId="0" fontId="30" fillId="0" borderId="11" xfId="0" applyFont="1" applyBorder="1">
      <alignment vertical="center"/>
    </xf>
    <xf numFmtId="0" fontId="31" fillId="4" borderId="4" xfId="0" applyFont="1" applyFill="1" applyBorder="1" applyAlignment="1">
      <alignment horizontal="center" vertical="center"/>
    </xf>
    <xf numFmtId="0" fontId="32" fillId="0" borderId="0" xfId="0" applyFont="1">
      <alignment vertical="center"/>
    </xf>
    <xf numFmtId="0" fontId="33" fillId="2" borderId="0" xfId="0" applyFont="1" applyFill="1" applyAlignment="1">
      <alignment vertical="top" wrapText="1"/>
    </xf>
    <xf numFmtId="0" fontId="34" fillId="2" borderId="0" xfId="0" applyFont="1" applyFill="1" applyAlignment="1">
      <alignment vertical="top" wrapText="1"/>
    </xf>
    <xf numFmtId="0" fontId="32" fillId="2" borderId="0" xfId="0" applyFont="1" applyFill="1">
      <alignment vertical="center"/>
    </xf>
    <xf numFmtId="0" fontId="0" fillId="5" borderId="0" xfId="0" applyFont="1" applyFill="1">
      <alignment vertical="center"/>
    </xf>
    <xf numFmtId="0" fontId="18" fillId="5" borderId="0" xfId="0" applyFont="1" applyFill="1">
      <alignment vertical="center"/>
    </xf>
    <xf numFmtId="0" fontId="18" fillId="0" borderId="0" xfId="0" applyFont="1">
      <alignment vertical="center"/>
    </xf>
    <xf numFmtId="0" fontId="35" fillId="2" borderId="0" xfId="0" applyFont="1" applyFill="1" applyAlignment="1">
      <alignment horizontal="center" wrapText="1"/>
    </xf>
    <xf numFmtId="0" fontId="36" fillId="2" borderId="0" xfId="0" applyFont="1" applyFill="1" applyAlignment="1">
      <alignment vertical="top" wrapText="1"/>
    </xf>
    <xf numFmtId="0" fontId="37" fillId="2" borderId="0" xfId="0" applyFont="1" applyFill="1" applyAlignment="1">
      <alignment vertical="top" wrapText="1"/>
    </xf>
    <xf numFmtId="0" fontId="33" fillId="2" borderId="0" xfId="0" applyFont="1" applyFill="1" applyAlignment="1">
      <alignment vertical="top"/>
    </xf>
    <xf numFmtId="0" fontId="38" fillId="2" borderId="0" xfId="0" applyFont="1" applyFill="1" applyAlignment="1">
      <alignment vertical="top" wrapText="1"/>
    </xf>
    <xf numFmtId="0" fontId="18" fillId="2" borderId="0" xfId="0" applyFont="1" applyFill="1" applyAlignment="1">
      <alignment vertical="center" wrapText="1"/>
    </xf>
    <xf numFmtId="0" fontId="5" fillId="2" borderId="0" xfId="0" applyFont="1" applyFill="1">
      <alignment vertical="center"/>
    </xf>
    <xf numFmtId="0" fontId="0" fillId="0" borderId="0" xfId="0" applyFont="1" applyAlignment="1">
      <alignment vertical="center" wrapText="1"/>
    </xf>
    <xf numFmtId="0" fontId="0" fillId="0" borderId="0" xfId="0" applyFont="1" applyAlignment="1">
      <alignment wrapText="1"/>
    </xf>
    <xf numFmtId="49" fontId="0" fillId="0" borderId="0" xfId="0" applyNumberFormat="1" applyFont="1">
      <alignment vertical="center"/>
    </xf>
    <xf numFmtId="0" fontId="15" fillId="2" borderId="17" xfId="0" applyFont="1" applyFill="1" applyBorder="1" applyAlignment="1">
      <alignment horizontal="center" vertical="center" wrapText="1"/>
    </xf>
    <xf numFmtId="0" fontId="39" fillId="2" borderId="17" xfId="0" applyFont="1" applyFill="1" applyBorder="1" applyAlignment="1">
      <alignment horizontal="center" vertical="center" wrapText="1"/>
    </xf>
    <xf numFmtId="0" fontId="39" fillId="2" borderId="0" xfId="0" applyFont="1" applyFill="1" applyAlignment="1">
      <alignment horizontal="center" vertical="center" wrapText="1"/>
    </xf>
    <xf numFmtId="0" fontId="40" fillId="2" borderId="0" xfId="0" applyFont="1" applyFill="1" applyAlignment="1">
      <alignment horizontal="center" vertical="center" wrapText="1"/>
    </xf>
    <xf numFmtId="0" fontId="0" fillId="0" borderId="17" xfId="0" applyFont="1" applyBorder="1">
      <alignment vertical="center"/>
    </xf>
    <xf numFmtId="0" fontId="22" fillId="2" borderId="17" xfId="0" applyFont="1" applyFill="1" applyBorder="1" applyAlignment="1">
      <alignment vertical="center" wrapText="1"/>
    </xf>
    <xf numFmtId="0" fontId="22" fillId="2" borderId="17" xfId="0" applyFont="1" applyFill="1" applyBorder="1" applyAlignment="1">
      <alignment vertical="top" wrapText="1"/>
    </xf>
    <xf numFmtId="0" fontId="4" fillId="2" borderId="17" xfId="0" applyFont="1" applyFill="1" applyBorder="1" applyAlignment="1">
      <alignment vertical="center" wrapText="1"/>
    </xf>
    <xf numFmtId="0" fontId="41" fillId="2" borderId="0" xfId="0" applyFont="1" applyFill="1" applyAlignment="1"/>
    <xf numFmtId="0" fontId="42" fillId="2" borderId="18" xfId="0" applyFont="1" applyFill="1" applyBorder="1" applyAlignment="1">
      <alignment horizontal="center" vertical="center"/>
    </xf>
    <xf numFmtId="49" fontId="43" fillId="2" borderId="18" xfId="0" applyNumberFormat="1" applyFont="1" applyFill="1" applyBorder="1" applyAlignment="1">
      <alignment horizontal="center" vertical="center" wrapText="1"/>
    </xf>
    <xf numFmtId="0" fontId="44" fillId="2" borderId="18" xfId="0" applyFont="1" applyFill="1" applyBorder="1" applyAlignment="1">
      <alignment horizontal="center" vertical="center"/>
    </xf>
    <xf numFmtId="0" fontId="45" fillId="2" borderId="0" xfId="0" applyFont="1" applyFill="1" applyAlignment="1">
      <alignment horizontal="center" vertical="center" wrapText="1"/>
    </xf>
    <xf numFmtId="0" fontId="46" fillId="2" borderId="0" xfId="0" applyFont="1" applyFill="1" applyAlignment="1">
      <alignment horizontal="center" vertical="center" wrapText="1"/>
    </xf>
    <xf numFmtId="0" fontId="47" fillId="2" borderId="0" xfId="0" applyFont="1" applyFill="1" applyAlignment="1">
      <alignment horizontal="center" vertical="center"/>
    </xf>
    <xf numFmtId="0" fontId="48" fillId="2" borderId="19" xfId="0" applyFont="1" applyFill="1" applyBorder="1" applyAlignment="1">
      <alignment horizontal="center" vertical="center" wrapText="1"/>
    </xf>
    <xf numFmtId="0" fontId="0" fillId="0" borderId="18" xfId="0" applyFont="1" applyBorder="1">
      <alignment vertical="center"/>
    </xf>
    <xf numFmtId="0" fontId="49" fillId="2" borderId="18"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1" fillId="2" borderId="18" xfId="0" applyFont="1" applyFill="1" applyBorder="1" applyAlignment="1">
      <alignment horizontal="center" vertical="center"/>
    </xf>
    <xf numFmtId="0" fontId="50" fillId="2" borderId="18" xfId="0" applyFont="1" applyFill="1" applyBorder="1" applyAlignment="1">
      <alignment horizontal="center" vertical="center"/>
    </xf>
    <xf numFmtId="0" fontId="51" fillId="2" borderId="0" xfId="0" applyFont="1" applyFill="1" applyAlignment="1">
      <alignment horizontal="center" vertical="center" wrapText="1"/>
    </xf>
    <xf numFmtId="0" fontId="52" fillId="2" borderId="0" xfId="0" applyFont="1" applyFill="1" applyAlignment="1"/>
    <xf numFmtId="0" fontId="53" fillId="2" borderId="18" xfId="0" applyFont="1" applyFill="1" applyBorder="1" applyAlignment="1">
      <alignment horizontal="center" vertical="center"/>
    </xf>
    <xf numFmtId="0" fontId="54" fillId="2" borderId="0" xfId="0" applyFont="1" applyFill="1" applyAlignment="1">
      <alignment horizontal="center" vertical="center" wrapText="1"/>
    </xf>
    <xf numFmtId="0" fontId="55" fillId="2" borderId="0" xfId="0" applyFont="1" applyFill="1" applyAlignment="1">
      <alignment horizontal="center" vertical="center" wrapText="1"/>
    </xf>
    <xf numFmtId="0" fontId="48" fillId="2" borderId="20" xfId="0" applyFont="1" applyFill="1" applyBorder="1" applyAlignment="1">
      <alignment horizontal="center" vertical="center" wrapText="1"/>
    </xf>
    <xf numFmtId="0" fontId="56" fillId="2" borderId="18" xfId="0" applyFont="1" applyFill="1" applyBorder="1" applyAlignment="1">
      <alignment horizontal="center" vertical="center"/>
    </xf>
    <xf numFmtId="0" fontId="57" fillId="2" borderId="0" xfId="0" applyFont="1" applyFill="1" applyAlignment="1">
      <alignment horizontal="center" vertical="center" wrapText="1"/>
    </xf>
    <xf numFmtId="0" fontId="58" fillId="2" borderId="0" xfId="0" applyFont="1" applyFill="1" applyAlignment="1">
      <alignment horizontal="center" vertical="center" wrapText="1"/>
    </xf>
    <xf numFmtId="0" fontId="41" fillId="2" borderId="21" xfId="0" applyFont="1" applyFill="1" applyBorder="1" applyAlignment="1"/>
    <xf numFmtId="0" fontId="51" fillId="2" borderId="18" xfId="0" applyFont="1" applyFill="1" applyBorder="1" applyAlignment="1">
      <alignment horizontal="center" vertical="center" wrapText="1"/>
    </xf>
    <xf numFmtId="0" fontId="51" fillId="2" borderId="22" xfId="0" applyFont="1" applyFill="1" applyBorder="1" applyAlignment="1">
      <alignment horizontal="center" vertical="center" wrapText="1"/>
    </xf>
    <xf numFmtId="0" fontId="58" fillId="2" borderId="0" xfId="0" applyFont="1" applyFill="1" applyAlignment="1">
      <alignment horizontal="center" vertical="center"/>
    </xf>
    <xf numFmtId="0" fontId="59" fillId="2" borderId="18" xfId="0" applyFont="1" applyFill="1" applyBorder="1" applyAlignment="1">
      <alignment horizontal="center" vertical="center"/>
    </xf>
    <xf numFmtId="0" fontId="60" fillId="2" borderId="22" xfId="0" applyFont="1" applyFill="1" applyBorder="1" applyAlignment="1">
      <alignment horizontal="center" vertical="center"/>
    </xf>
    <xf numFmtId="0" fontId="46" fillId="2" borderId="0" xfId="0" applyFont="1" applyFill="1" applyAlignment="1">
      <alignment horizontal="center" vertical="center"/>
    </xf>
    <xf numFmtId="0" fontId="61" fillId="2" borderId="0" xfId="0" applyFont="1" applyFill="1" applyAlignment="1">
      <alignment horizontal="center" vertical="center" wrapText="1"/>
    </xf>
    <xf numFmtId="0" fontId="62" fillId="2" borderId="0" xfId="0" applyFont="1" applyFill="1" applyAlignment="1">
      <alignment horizontal="center" vertical="center"/>
    </xf>
    <xf numFmtId="0" fontId="55" fillId="2" borderId="0" xfId="0" applyFont="1" applyFill="1" applyAlignment="1">
      <alignment horizontal="center" vertical="center"/>
    </xf>
    <xf numFmtId="0" fontId="42" fillId="2" borderId="0" xfId="0" applyFont="1" applyFill="1" applyAlignment="1">
      <alignment horizontal="center" vertical="center"/>
    </xf>
    <xf numFmtId="49" fontId="43" fillId="2" borderId="0" xfId="0" applyNumberFormat="1" applyFont="1" applyFill="1" applyAlignment="1">
      <alignment horizontal="center" vertical="center" wrapText="1"/>
    </xf>
    <xf numFmtId="0" fontId="50" fillId="2" borderId="0" xfId="0" applyFont="1" applyFill="1" applyAlignment="1">
      <alignment horizontal="center" vertical="center"/>
    </xf>
    <xf numFmtId="0" fontId="62" fillId="2" borderId="0" xfId="0" applyFont="1" applyFill="1" applyAlignment="1">
      <alignment horizontal="center" vertical="center" wrapText="1"/>
    </xf>
    <xf numFmtId="0" fontId="0" fillId="0" borderId="21" xfId="0" applyFont="1" applyBorder="1">
      <alignment vertical="center"/>
    </xf>
    <xf numFmtId="0" fontId="63" fillId="2" borderId="22" xfId="0" applyFont="1" applyFill="1" applyBorder="1" applyAlignment="1">
      <alignment horizontal="center" vertical="center"/>
    </xf>
    <xf numFmtId="0" fontId="57" fillId="2" borderId="0" xfId="0" applyFont="1" applyFill="1" applyAlignment="1">
      <alignment horizontal="center" vertical="center"/>
    </xf>
    <xf numFmtId="0" fontId="47" fillId="2" borderId="0" xfId="0" applyFont="1" applyFill="1" applyAlignment="1">
      <alignment horizontal="center" vertical="center" wrapText="1"/>
    </xf>
    <xf numFmtId="49" fontId="64" fillId="2" borderId="18" xfId="0" applyNumberFormat="1" applyFont="1" applyFill="1" applyBorder="1" applyAlignment="1">
      <alignment horizontal="center" vertical="center" wrapText="1"/>
    </xf>
    <xf numFmtId="0" fontId="63" fillId="2" borderId="0" xfId="0" applyFont="1" applyFill="1" applyAlignment="1">
      <alignment horizontal="center" vertical="center"/>
    </xf>
    <xf numFmtId="0" fontId="0" fillId="2" borderId="21" xfId="0" applyFont="1" applyFill="1" applyBorder="1">
      <alignment vertical="center"/>
    </xf>
    <xf numFmtId="0" fontId="53" fillId="2" borderId="0" xfId="0" applyFont="1" applyFill="1" applyAlignment="1">
      <alignment horizontal="center" vertical="center"/>
    </xf>
    <xf numFmtId="0" fontId="49" fillId="2" borderId="0" xfId="0" applyFont="1" applyFill="1" applyAlignment="1">
      <alignment horizontal="center" vertical="center" wrapText="1"/>
    </xf>
    <xf numFmtId="0" fontId="42" fillId="2" borderId="23" xfId="0" applyFont="1" applyFill="1" applyBorder="1" applyAlignment="1">
      <alignment horizontal="center" vertical="center"/>
    </xf>
    <xf numFmtId="49" fontId="43" fillId="2" borderId="23" xfId="0" applyNumberFormat="1" applyFont="1" applyFill="1" applyBorder="1" applyAlignment="1">
      <alignment horizontal="center" vertical="center" wrapText="1"/>
    </xf>
    <xf numFmtId="0" fontId="56" fillId="2" borderId="23" xfId="0" applyFont="1" applyFill="1" applyBorder="1" applyAlignment="1">
      <alignment horizontal="center" vertical="center"/>
    </xf>
    <xf numFmtId="0" fontId="45" fillId="2" borderId="22" xfId="0" applyFont="1" applyFill="1" applyBorder="1" applyAlignment="1">
      <alignment horizontal="center" vertical="center" wrapText="1"/>
    </xf>
    <xf numFmtId="0" fontId="46" fillId="2" borderId="22" xfId="0" applyFont="1" applyFill="1" applyBorder="1" applyAlignment="1">
      <alignment horizontal="center" vertical="center" wrapText="1"/>
    </xf>
    <xf numFmtId="0" fontId="0" fillId="0" borderId="23" xfId="0" applyFont="1" applyBorder="1">
      <alignment vertical="center"/>
    </xf>
    <xf numFmtId="0" fontId="65" fillId="2" borderId="18" xfId="0" applyFont="1" applyFill="1" applyBorder="1" applyAlignment="1">
      <alignment horizontal="center" vertical="center" wrapText="1"/>
    </xf>
    <xf numFmtId="0" fontId="59" fillId="2" borderId="0" xfId="0" applyFont="1" applyFill="1" applyAlignment="1">
      <alignment horizontal="center" vertical="center"/>
    </xf>
    <xf numFmtId="0" fontId="44" fillId="2" borderId="23" xfId="0" applyFont="1" applyFill="1" applyBorder="1" applyAlignment="1">
      <alignment horizontal="center" vertical="center"/>
    </xf>
    <xf numFmtId="0" fontId="61" fillId="2" borderId="22" xfId="0" applyFont="1" applyFill="1" applyBorder="1" applyAlignment="1">
      <alignment horizontal="center" vertical="center" wrapText="1"/>
    </xf>
    <xf numFmtId="0" fontId="0" fillId="0" borderId="18" xfId="0" applyFont="1" applyBorder="1" applyAlignment="1">
      <alignment horizontal="center" vertical="center"/>
    </xf>
    <xf numFmtId="0" fontId="44" fillId="2" borderId="0" xfId="0" applyFont="1" applyFill="1" applyAlignment="1">
      <alignment horizontal="center" vertical="center"/>
    </xf>
    <xf numFmtId="49" fontId="64" fillId="2" borderId="0" xfId="0" applyNumberFormat="1" applyFont="1" applyFill="1" applyAlignment="1">
      <alignment horizontal="center" vertical="center" wrapText="1"/>
    </xf>
    <xf numFmtId="0" fontId="57" fillId="2" borderId="22" xfId="0" applyFont="1" applyFill="1" applyBorder="1" applyAlignment="1">
      <alignment horizontal="center" vertical="center" wrapText="1"/>
    </xf>
    <xf numFmtId="0" fontId="65" fillId="2" borderId="0" xfId="0" applyFont="1" applyFill="1" applyAlignment="1">
      <alignment horizontal="center" vertical="center" wrapText="1"/>
    </xf>
    <xf numFmtId="0" fontId="55" fillId="2" borderId="22" xfId="0" applyFont="1" applyFill="1" applyBorder="1" applyAlignment="1">
      <alignment horizontal="center" vertical="center"/>
    </xf>
    <xf numFmtId="0" fontId="46" fillId="2" borderId="22" xfId="0" applyFont="1" applyFill="1" applyBorder="1" applyAlignment="1">
      <alignment horizontal="center" vertical="center"/>
    </xf>
    <xf numFmtId="0" fontId="53" fillId="2" borderId="23" xfId="0" applyFont="1" applyFill="1" applyBorder="1" applyAlignment="1">
      <alignment horizontal="center" vertical="center"/>
    </xf>
    <xf numFmtId="0" fontId="55" fillId="2" borderId="22" xfId="0" applyFont="1" applyFill="1" applyBorder="1" applyAlignment="1">
      <alignment horizontal="center" vertical="center" wrapText="1"/>
    </xf>
    <xf numFmtId="0" fontId="47" fillId="2" borderId="22" xfId="0" applyFont="1" applyFill="1" applyBorder="1" applyAlignment="1">
      <alignment horizontal="center" vertical="center"/>
    </xf>
    <xf numFmtId="0" fontId="11" fillId="2" borderId="0" xfId="0" applyFont="1" applyFill="1" applyAlignment="1">
      <alignment horizontal="center" vertical="center"/>
    </xf>
    <xf numFmtId="0" fontId="59" fillId="2" borderId="23" xfId="0" applyFont="1" applyFill="1" applyBorder="1" applyAlignment="1">
      <alignment horizontal="center" vertical="center"/>
    </xf>
    <xf numFmtId="0" fontId="54" fillId="2" borderId="22" xfId="0" applyFont="1" applyFill="1" applyBorder="1" applyAlignment="1">
      <alignment horizontal="center" vertical="center" wrapText="1"/>
    </xf>
    <xf numFmtId="0" fontId="66" fillId="2" borderId="22" xfId="0" applyFont="1" applyFill="1" applyBorder="1" applyAlignment="1">
      <alignment horizontal="center" vertical="center"/>
    </xf>
    <xf numFmtId="0" fontId="67" fillId="2" borderId="18" xfId="0" applyFont="1" applyFill="1" applyBorder="1" applyAlignment="1">
      <alignment horizontal="center" vertical="center"/>
    </xf>
    <xf numFmtId="0" fontId="68" fillId="5" borderId="0" xfId="0" applyFont="1" applyFill="1" applyAlignment="1">
      <alignment horizontal="center" vertical="center"/>
    </xf>
    <xf numFmtId="0" fontId="69" fillId="5" borderId="0" xfId="0" applyFont="1" applyFill="1" applyAlignment="1">
      <alignment horizontal="center" vertical="center"/>
    </xf>
    <xf numFmtId="0" fontId="41" fillId="5" borderId="0" xfId="0" applyFont="1" applyFill="1" applyAlignment="1">
      <alignment horizontal="center" vertical="center"/>
    </xf>
    <xf numFmtId="0" fontId="70" fillId="5" borderId="0" xfId="0" applyFont="1" applyFill="1" applyAlignment="1">
      <alignment horizontal="center" wrapText="1"/>
    </xf>
    <xf numFmtId="0" fontId="70" fillId="5" borderId="0" xfId="0" applyFont="1" applyFill="1" applyAlignment="1">
      <alignment horizontal="center"/>
    </xf>
    <xf numFmtId="0" fontId="41" fillId="5"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10</xdr:col>
      <xdr:colOff>981075</xdr:colOff>
      <xdr:row>30</xdr:row>
      <xdr:rowOff>22225</xdr:rowOff>
    </xdr:from>
    <xdr:ext cx="0" cy="0"/>
    <xdr:pic>
      <xdr:nvPicPr>
        <xdr:cNvPr id="2" name="图片 1"/>
        <xdr:cNvPicPr/>
      </xdr:nvPicPr>
      <xdr:blipFill>
        <a:blip r:embed="rId1" r:link="rId2"/>
        <a:stretch>
          <a:fillRect/>
        </a:stretch>
      </xdr:blipFill>
      <xdr:spPr>
        <a:xfrm>
          <a:off x="10596245" y="11929745"/>
          <a:ext cx="0" cy="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lobotomycorp.fandom.com/zh/wiki/O-01-12_%E8%80%81%E5%A6%87%E4%BA%BA" TargetMode="External"/><Relationship Id="rId86" Type="http://schemas.openxmlformats.org/officeDocument/2006/relationships/hyperlink" Target="https://lobotomycorp.fandom.com/zh/wiki/%E7%A7%83%E5%A4%B4-%E7%9C%9F%E6%98%AF-%E5%A4%AA%E6%A3%92%E5%95%A6!_%E4%BD%A0%E6%98%AF%E4%B8%AA%E7%A7%83%E5%AD%90..." TargetMode="External"/><Relationship Id="rId85" Type="http://schemas.openxmlformats.org/officeDocument/2006/relationships/hyperlink" Target="https://lobotomycorp.fandom.com/zh/wiki/D-01-110_%E9%A3%8E%E4%BA%91%E6%B3%95%E5%B8%88" TargetMode="External"/><Relationship Id="rId84" Type="http://schemas.openxmlformats.org/officeDocument/2006/relationships/hyperlink" Target="https://lobotomycorp.fandom.com/zh/wiki/D-03-109_%E6%BA%B6%E8%A7%A3%E4%B9%8B%E7%88%B1" TargetMode="External"/><Relationship Id="rId83" Type="http://schemas.openxmlformats.org/officeDocument/2006/relationships/hyperlink" Target="https://lobotomycorp.fandom.com/zh/wiki/D-04-108_%E5%AF%84%E7%94%9F%E6%A0%91" TargetMode="External"/><Relationship Id="rId82" Type="http://schemas.openxmlformats.org/officeDocument/2006/relationships/hyperlink" Target="https://lobotomycorp.fandom.com/zh/wiki/D-02-107_%E6%B3%A2%E8%BF%AA" TargetMode="External"/><Relationship Id="rId81" Type="http://schemas.openxmlformats.org/officeDocument/2006/relationships/hyperlink" Target="https://lobotomycorp.fandom.com/zh/wiki/D-01-106_%E6%B7%B1%E9%BB%AF%E3%80%8C%E5%86%9B%E5%9B%A2%E3%80%8D" TargetMode="External"/><Relationship Id="rId80" Type="http://schemas.openxmlformats.org/officeDocument/2006/relationships/hyperlink" Target="https://lobotomycorp.fandom.com/zh/wiki/D-01-105_%E6%9C%88%E5%85%89%E5%A5%B3%E7%A5%9E" TargetMode="External"/><Relationship Id="rId8" Type="http://schemas.openxmlformats.org/officeDocument/2006/relationships/hyperlink" Target="https://lobotomycorp.fandom.com/zh/wiki/T-09-09_%E7%89%B9%E8%95%BE%E8%A5%BF%E5%A8%85" TargetMode="External"/><Relationship Id="rId79" Type="http://schemas.openxmlformats.org/officeDocument/2006/relationships/hyperlink" Target="https://lobotomycorp.fandom.com/zh/wiki/D-09-104_%E5%9B%9E%E6%BA%AF%E4%B9%8B%E9%92%9F" TargetMode="External"/><Relationship Id="rId78" Type="http://schemas.openxmlformats.org/officeDocument/2006/relationships/hyperlink" Target="https://lobotomycorp.fandom.com/zh/wiki/O-07-103_%E9%98%B3" TargetMode="External"/><Relationship Id="rId77" Type="http://schemas.openxmlformats.org/officeDocument/2006/relationships/hyperlink" Target="https://lobotomycorp.fandom.com/zh/wiki/O-05-102_%E9%98%B4" TargetMode="External"/><Relationship Id="rId76" Type="http://schemas.openxmlformats.org/officeDocument/2006/relationships/hyperlink" Target="https://lobotomycorp.fandom.com/zh/wiki/O-02-101_%E7%82%8E%E9%9B%80" TargetMode="External"/><Relationship Id="rId75" Type="http://schemas.openxmlformats.org/officeDocument/2006/relationships/hyperlink" Target="https://lobotomycorp.fandom.com/zh/wiki/O-04-100_%E6%A8%B1%E4%B8%8B%E5%A2%93" TargetMode="External"/><Relationship Id="rId74" Type="http://schemas.openxmlformats.org/officeDocument/2006/relationships/hyperlink" Target="https://lobotomycorp.fandom.com/zh/wiki/T-02-99_%E7%A9%BA%E8%99%9A%E4%B9%8B%E6%A2%A6" TargetMode="External"/><Relationship Id="rId73" Type="http://schemas.openxmlformats.org/officeDocument/2006/relationships/hyperlink" Target="https://lobotomycorp.fandom.com/zh/wiki/O-02-98_%E6%A3%98%E5%88%BA%E5%85%AC%E4%BA%A4" TargetMode="External"/><Relationship Id="rId72" Type="http://schemas.openxmlformats.org/officeDocument/2006/relationships/hyperlink" Target="https://lobotomycorp.fandom.com/zh/wiki/T-09-97_%E5%8F%A4%E8%80%81%E7%9A%84%E4%BF%A1%E5%BF%B5%E4%B8%8E%E6%89%BF%E8%AF%BA" TargetMode="External"/><Relationship Id="rId71" Type="http://schemas.openxmlformats.org/officeDocument/2006/relationships/hyperlink" Target="https://lobotomycorp.fandom.com/zh/wiki/O-09-96_%E8%A1%8C%E4%B8%BA%E7%9F%AB%E6%AD%A3%E4%BB%AA" TargetMode="External"/><Relationship Id="rId70" Type="http://schemas.openxmlformats.org/officeDocument/2006/relationships/hyperlink" Target="https://lobotomycorp.fandom.com/zh/wiki/O-09-95_%E8%8D%A7%E5%85%89%E6%89%8B%E9%95%AF" TargetMode="External"/><Relationship Id="rId7" Type="http://schemas.openxmlformats.org/officeDocument/2006/relationships/hyperlink" Target="https://lobotomycorp.fandom.com/zh/wiki/O-04-08_%E7%BA%A2%E8%88%9E%E9%9E%8B" TargetMode="External"/><Relationship Id="rId69" Type="http://schemas.openxmlformats.org/officeDocument/2006/relationships/hyperlink" Target="https://lobotomycorp.fandom.com/zh/wiki/T-09-94_%E4%BD%A0%E5%BF%85%E9%A1%BB%E8%A6%81%E5%B9%B8%E7%A6%8F" TargetMode="External"/><Relationship Id="rId68" Type="http://schemas.openxmlformats.org/officeDocument/2006/relationships/hyperlink" Target="https://lobotomycorp.fandom.com/zh/wiki/O-03-93_%E7%A2%A7%E8%93%9D%E6%96%B0%E6%98%9F" TargetMode="External"/><Relationship Id="rId67" Type="http://schemas.openxmlformats.org/officeDocument/2006/relationships/hyperlink" Target="https://lobotomycorp.fandom.com/zh/wiki/O-01-92_%E4%BB%8A%E5%A4%A9%E4%B9%9F%E5%BE%88%E5%AE%B3%E7%BE%9E" TargetMode="External"/><Relationship Id="rId66" Type="http://schemas.openxmlformats.org/officeDocument/2006/relationships/hyperlink" Target="https://lobotomycorp.fandom.com/zh/wiki/O-09-91_%E5%BC%82%E4%B8%96%E7%9A%84%E8%82%96%E5%83%8F" TargetMode="External"/><Relationship Id="rId65" Type="http://schemas.openxmlformats.org/officeDocument/2006/relationships/hyperlink" Target="https://lobotomycorp.fandom.com/zh/wiki/T-09-90_%E4%BA%BA%E7%9A%AE%E5%90%AF%E7%A4%BA%E5%BD%95" TargetMode="External"/><Relationship Id="rId64" Type="http://schemas.openxmlformats.org/officeDocument/2006/relationships/hyperlink" Target="https://lobotomycorp.fandom.com/zh/wiki/O-03-89_%E3%80%8CCENSORED%E3%80%8D" TargetMode="External"/><Relationship Id="rId63" Type="http://schemas.openxmlformats.org/officeDocument/2006/relationships/hyperlink" Target="https://lobotomycorp.fandom.com/zh/wiki/O-03-88_%E6%AC%A1%E5%85%83%E8%A1%8D%E5%B0%84%E5%8F%98%E4%BD%93" TargetMode="External"/><Relationship Id="rId62" Type="http://schemas.openxmlformats.org/officeDocument/2006/relationships/hyperlink" Target="https://lobotomycorp.fandom.com/zh/wiki/F-01-87_%E7%B4%A2%E6%B1%82%E6%99%BA%E6%85%A7%E7%9A%84%E7%A8%BB%E8%8D%89%E4%BA%BA" TargetMode="External"/><Relationship Id="rId61" Type="http://schemas.openxmlformats.org/officeDocument/2006/relationships/hyperlink" Target="https://lobotomycorp.fandom.com/zh/wiki/T-09-86_%E9%BB%84%E6%B3%89%E5%88%97%E8%BD%A6" TargetMode="External"/><Relationship Id="rId60" Type="http://schemas.openxmlformats.org/officeDocument/2006/relationships/hyperlink" Target="https://lobotomycorp.fandom.com/zh/wiki/T-09-85_%E6%88%91%E4%BB%AC%E5%8F%AF%E4%BB%A5%E6%94%B9%E5%8F%98%E4%B8%80%E5%88%87" TargetMode="External"/><Relationship Id="rId6" Type="http://schemas.openxmlformats.org/officeDocument/2006/relationships/hyperlink" Target="https://lobotomycorp.fandom.com/zh/wiki/T-04-06_%E5%BF%AB%E4%B9%90%E6%B3%B0%E8%BF%AA" TargetMode="External"/><Relationship Id="rId59" Type="http://schemas.openxmlformats.org/officeDocument/2006/relationships/hyperlink" Target="https://lobotomycorp.fandom.com/zh/wiki/O-04-84_%E9%99%86%E7%94%9F%E9%AE%9F%E9%B1%87" TargetMode="External"/><Relationship Id="rId58" Type="http://schemas.openxmlformats.org/officeDocument/2006/relationships/hyperlink" Target="https://lobotomycorp.fandom.com/zh/wiki/F-04-83_%E7%B2%BE%E7%81%B5%E7%9B%9B%E5%AE%B4" TargetMode="External"/><Relationship Id="rId57" Type="http://schemas.openxmlformats.org/officeDocument/2006/relationships/hyperlink" Target="https://lobotomycorp.fandom.com/zh/wiki/T-09-82_3%E6%9C%8827%E6%97%A5%E7%9A%84%E9%81%BF%E9%9A%BE%E6%89%80" TargetMode="External"/><Relationship Id="rId56" Type="http://schemas.openxmlformats.org/officeDocument/2006/relationships/hyperlink" Target="https://lobotomycorp.fandom.com/zh/wiki/O-09-81_%E8%BD%AC%E6%80%A7%E9%AD%94%E9%95%9C" TargetMode="External"/><Relationship Id="rId55" Type="http://schemas.openxmlformats.org/officeDocument/2006/relationships/hyperlink" Target="https://lobotomycorp.fandom.com/zh/wiki/T-09-80_%E5%B7%A8%E6%A0%91%E6%B1%81%E6%B6%B2" TargetMode="External"/><Relationship Id="rId54" Type="http://schemas.openxmlformats.org/officeDocument/2006/relationships/hyperlink" Target="https://lobotomycorp.fandom.com/zh/wiki/T-09-79_%E8%A1%80%E8%82%89%E5%81%B6%E5%83%8F" TargetMode="External"/><Relationship Id="rId53" Type="http://schemas.openxmlformats.org/officeDocument/2006/relationships/hyperlink" Target="https://lobotomycorp.fandom.com/zh/wiki/T-09-78_%E7%99%AB%E7%8B%82%E7%A0%94%E7%A9%B6%E5%91%98%E7%9A%84%E7%AC%94%E8%AE%B0%E6%9C%AC" TargetMode="External"/><Relationship Id="rId52" Type="http://schemas.openxmlformats.org/officeDocument/2006/relationships/hyperlink" Target="https://lobotomycorp.fandom.com/zh/wiki/T-09-77_%E6%B8%B4%E6%9C%9B%E4%B9%8B%E5%BF%83" TargetMode="External"/><Relationship Id="rId51" Type="http://schemas.openxmlformats.org/officeDocument/2006/relationships/hyperlink" Target="https://lobotomycorp.fandom.com/zh/wiki/O-05-76_%E5%B9%B8%E7%81%BE%E4%B9%90%E7%A5%B8" TargetMode="External"/><Relationship Id="rId50" Type="http://schemas.openxmlformats.org/officeDocument/2006/relationships/hyperlink" Target="https://lobotomycorp.fandom.com/zh/wiki/T-01-75_%E5%BE%AE%E7%AC%91%E7%9A%84%E5%B0%B8%E5%B1%B1" TargetMode="External"/><Relationship Id="rId5" Type="http://schemas.openxmlformats.org/officeDocument/2006/relationships/hyperlink" Target="https://lobotomycorp.fandom.com/zh/wiki/O-01-04_%E6%86%8E%E6%81%B6%E5%A5%B3%E7%8E%8B" TargetMode="External"/><Relationship Id="rId49" Type="http://schemas.openxmlformats.org/officeDocument/2006/relationships/hyperlink" Target="https://lobotomycorp.fandom.com/zh/wiki/O-02-74_%E8%A3%B8%E5%B7%A2" TargetMode="External"/><Relationship Id="rId48" Type="http://schemas.openxmlformats.org/officeDocument/2006/relationships/hyperlink" Target="https://lobotomycorp.fandom.com/zh/wiki/O-01-73_%E7%BB%9D%E6%9C%9B%E9%AA%91%E5%A3%AB" TargetMode="External"/><Relationship Id="rId47" Type="http://schemas.openxmlformats.org/officeDocument/2006/relationships/hyperlink" Target="https://lobotomycorp.fandom.com/zh/wiki/O-04-72_%E7%A9%BF%E5%88%BA%E4%B9%90%E5%9B%AD" TargetMode="External"/><Relationship Id="rId46" Type="http://schemas.openxmlformats.org/officeDocument/2006/relationships/hyperlink" Target="https://lobotomycorp.fandom.com/zh/wiki/T-02-71_%E6%A2%A6%E4%B8%AD%E7%9A%84%E6%B4%8B%E6%B5%81" TargetMode="External"/><Relationship Id="rId45" Type="http://schemas.openxmlformats.org/officeDocument/2006/relationships/hyperlink" Target="https://lobotomycorp.fandom.com/zh/wiki/F-02-70_%E9%BB%91%E5%A4%A9%E9%B9%85%E4%B9%8B%E6%A2%A6" TargetMode="External"/><Relationship Id="rId44" Type="http://schemas.openxmlformats.org/officeDocument/2006/relationships/hyperlink" Target="https://lobotomycorp.fandom.com/zh/wiki/F-01-69_%E9%AD%94%E5%BC%B9%E5%B0%84%E6%89%8B" TargetMode="External"/><Relationship Id="rId43" Type="http://schemas.openxmlformats.org/officeDocument/2006/relationships/hyperlink" Target="https://lobotomycorp.fandom.com/zh/wiki/T-01-68_%E4%BA%A1%E8%9D%B6%E8%91%AC%E4%BB%AA" TargetMode="External"/><Relationship Id="rId42" Type="http://schemas.openxmlformats.org/officeDocument/2006/relationships/hyperlink" Target="https://lobotomycorp.fandom.com/zh/wiki/O-01-67_%E8%95%BE%E8%92%82%E5%B8%8C%E5%A8%85" TargetMode="External"/><Relationship Id="rId41" Type="http://schemas.openxmlformats.org/officeDocument/2006/relationships/hyperlink" Target="https://lobotomycorp.fandom.com/zh/wiki/O-04-66_%E5%B0%8F%E7%8E%8B%E5%AD%90" TargetMode="External"/><Relationship Id="rId40" Type="http://schemas.openxmlformats.org/officeDocument/2006/relationships/hyperlink" Target="https://lobotomycorp.fandom.com/zh/wiki/O-01-64_%E8%B4%AA%E5%A9%AA%E5%A5%B3%E7%8E%8B" TargetMode="External"/><Relationship Id="rId4" Type="http://schemas.openxmlformats.org/officeDocument/2006/relationships/hyperlink" Target="https://lobotomycorp.fandom.com/zh/wiki/O-03-03_%E4%B8%80%E7%BD%AA%E4%B8%8E%E7%99%BE%E5%96%84" TargetMode="External"/><Relationship Id="rId39" Type="http://schemas.openxmlformats.org/officeDocument/2006/relationships/hyperlink" Target="https://lobotomycorp.fandom.com/zh/wiki/O-02-63_%E7%BB%88%E6%9C%AB%E9%B8%9F" TargetMode="External"/><Relationship Id="rId38" Type="http://schemas.openxmlformats.org/officeDocument/2006/relationships/hyperlink" Target="https://lobotomycorp.fandom.com/zh/wiki/O-02-62_%E5%AE%A1%E5%88%A4%E9%B8%9F" TargetMode="External"/><Relationship Id="rId37" Type="http://schemas.openxmlformats.org/officeDocument/2006/relationships/hyperlink" Target="https://lobotomycorp.fandom.com/zh/wiki/O-05-61_%E7%A0%B4%E8%A3%82%E7%9B%94%E7%94%B2" TargetMode="External"/><Relationship Id="rId36" Type="http://schemas.openxmlformats.org/officeDocument/2006/relationships/hyperlink" Target="https://lobotomycorp.fandom.com/zh/wiki/O-03-60_%E5%AE%87%E5%AE%99%E7%A2%8E%E7%89%87" TargetMode="External"/><Relationship Id="rId35" Type="http://schemas.openxmlformats.org/officeDocument/2006/relationships/hyperlink" Target="https://lobotomycorp.fandom.com/zh/wiki/F-02-58_%E5%8F%88%E5%A4%A7%E5%8F%88%E5%8F%AF%E8%83%BD%E5%BE%88%E5%9D%8F%E7%9A%84%E7%8B%BC" TargetMode="External"/><Relationship Id="rId34" Type="http://schemas.openxmlformats.org/officeDocument/2006/relationships/hyperlink" Target="https://lobotomycorp.fandom.com/zh/wiki/F-01-57_%E5%B0%8F%E7%BA%A2%E5%B8%BD%E9%9B%87%E4%BD%A3%E5%85%B5" TargetMode="External"/><Relationship Id="rId33" Type="http://schemas.openxmlformats.org/officeDocument/2006/relationships/hyperlink" Target="https://lobotomycorp.fandom.com/zh/wiki/O-02-56_%E6%83%A9%E6%88%92%E9%B8%9F" TargetMode="External"/><Relationship Id="rId32" Type="http://schemas.openxmlformats.org/officeDocument/2006/relationships/hyperlink" Target="https://lobotomycorp.fandom.com/zh/wiki/O-01-55_%E9%93%B6%E6%B2%B3%E4%B9%8B%E5%AD%90" TargetMode="External"/><Relationship Id="rId31" Type="http://schemas.openxmlformats.org/officeDocument/2006/relationships/hyperlink" Target="https://lobotomycorp.fandom.com/zh/wiki/T-01-54_%E8%A2%AB%E9%81%97%E5%BC%83%E7%9A%84%E6%9D%80%E4%BA%BA%E9%AD%94" TargetMode="External"/><Relationship Id="rId30" Type="http://schemas.openxmlformats.org/officeDocument/2006/relationships/hyperlink" Target="https://lobotomycorp.fandom.com/zh/wiki/T-04-53_%E7%88%B1%E5%A8%9C%E6%B8%A9" TargetMode="External"/><Relationship Id="rId3" Type="http://schemas.openxmlformats.org/officeDocument/2006/relationships/hyperlink" Target="https://lobotomycorp.fandom.com/zh/wiki/F-01-02_%E7%84%A6%E5%8C%96%E5%B0%91%E5%A5%B3" TargetMode="External"/><Relationship Id="rId29" Type="http://schemas.openxmlformats.org/officeDocument/2006/relationships/hyperlink" Target="https://lobotomycorp.fandom.com/zh/wiki/F-05-52_%E9%9F%A6%E5%B0%94%E5%A5%87%E4%B9%90%E7%89%8C%E6%B1%BD%E6%B0%B4" TargetMode="External"/><Relationship Id="rId28" Type="http://schemas.openxmlformats.org/officeDocument/2006/relationships/hyperlink" Target="https://lobotomycorp.fandom.com/zh/wiki/T-05-51_%E8%A1%80%E6%B5%B4%E7%BC%B8" TargetMode="External"/><Relationship Id="rId27" Type="http://schemas.openxmlformats.org/officeDocument/2006/relationships/hyperlink" Target="https://lobotomycorp.fandom.com/zh/wiki/T-04-50_%E8%9C%82%E5%90%8E" TargetMode="External"/><Relationship Id="rId26" Type="http://schemas.openxmlformats.org/officeDocument/2006/relationships/hyperlink" Target="https://lobotomycorp.fandom.com/zh/wiki/F-02-49_%E9%9B%AA%E6%A9%87%E9%B2%81%E9%81%93%E5%A4%AB" TargetMode="External"/><Relationship Id="rId25" Type="http://schemas.openxmlformats.org/officeDocument/2006/relationships/hyperlink" Target="https://lobotomycorp.fandom.com/zh/wiki/O-05-47_%E5%88%AB%E7%A2%B0%E6%88%91" TargetMode="External"/><Relationship Id="rId24" Type="http://schemas.openxmlformats.org/officeDocument/2006/relationships/hyperlink" Target="https://lobotomycorp.fandom.com/zh/wiki/T-03-46_%E7%99%BD%E5%A4%9C" TargetMode="External"/><Relationship Id="rId23" Type="http://schemas.openxmlformats.org/officeDocument/2006/relationships/hyperlink" Target="https://lobotomycorp.fandom.com/zh/wiki/O-01-45_%E7%96%AB%E5%8C%BB" TargetMode="External"/><Relationship Id="rId22" Type="http://schemas.openxmlformats.org/officeDocument/2006/relationships/hyperlink" Target="https://lobotomycorp.fandom.com/zh/wiki/F-02-44_%E7%BE%8E%E5%A5%B3%E5%92%8C%E9%87%8E%E5%85%BD" TargetMode="External"/><Relationship Id="rId21" Type="http://schemas.openxmlformats.org/officeDocument/2006/relationships/hyperlink" Target="https://lobotomycorp.fandom.com/zh/wiki/T-02-43_%E8%9C%98%E8%9B%9B%E5%B7%A2" TargetMode="External"/><Relationship Id="rId20" Type="http://schemas.openxmlformats.org/officeDocument/2006/relationships/hyperlink" Target="https://lobotomycorp.fandom.com/zh/wiki/F-04-42_%E7%99%BD%E9%9B%AA%E5%85%AC%E4%B8%BB%E7%9A%84%E8%8B%B9%E6%9E%9C" TargetMode="External"/><Relationship Id="rId2" Type="http://schemas.openxmlformats.org/officeDocument/2006/relationships/vmlDrawing" Target="../drawings/vmlDrawing1.vml"/><Relationship Id="rId19" Type="http://schemas.openxmlformats.org/officeDocument/2006/relationships/hyperlink" Target="https://lobotomycorp.fandom.com/zh/wiki/T-05-41_%E5%B0%8F%E5%B8%AE%E6%89%8B" TargetMode="External"/><Relationship Id="rId18" Type="http://schemas.openxmlformats.org/officeDocument/2006/relationships/hyperlink" Target="https://lobotomycorp.fandom.com/zh/wiki/O-02-40_%E5%A4%A7%E9%B8%9F" TargetMode="External"/><Relationship Id="rId17" Type="http://schemas.openxmlformats.org/officeDocument/2006/relationships/hyperlink" Target="https://lobotomycorp.fandom.com/zh/wiki/F-01-37_%E5%86%B0%E9%9B%AA%E5%A5%B3%E7%9A%87" TargetMode="External"/><Relationship Id="rId16" Type="http://schemas.openxmlformats.org/officeDocument/2006/relationships/hyperlink" Target="https://lobotomycorp.fandom.com/zh/wiki/F-05-32_%E7%83%AD%E5%BF%83%E7%9A%84%E6%A8%B5%E5%A4%AB" TargetMode="External"/><Relationship Id="rId15" Type="http://schemas.openxmlformats.org/officeDocument/2006/relationships/hyperlink" Target="https://lobotomycorp.fandom.com/zh/wiki/T-01-31_%E6%B2%89%E9%BB%98%E4%B9%90%E5%9B%A2" TargetMode="External"/><Relationship Id="rId14" Type="http://schemas.openxmlformats.org/officeDocument/2006/relationships/hyperlink" Target="https://lobotomycorp.fandom.com/zh/wiki/O-05-30_%E6%AD%8C%E5%94%B1%E6%9C%BA" TargetMode="External"/><Relationship Id="rId13" Type="http://schemas.openxmlformats.org/officeDocument/2006/relationships/hyperlink" Target="https://lobotomycorp.fandom.com/zh/wiki/T-06-27_1.76%E5%85%86%E8%B5%AB" TargetMode="External"/><Relationship Id="rId12" Type="http://schemas.openxmlformats.org/officeDocument/2006/relationships/hyperlink" Target="https://lobotomycorp.fandom.com/zh/wiki/O-06-20_%E3%80%8C%E4%B8%80%E6%97%A0%E6%89%80%E6%9C%89%E3%80%8D" TargetMode="External"/><Relationship Id="rId11" Type="http://schemas.openxmlformats.org/officeDocument/2006/relationships/hyperlink" Target="https://lobotomycorp.fandom.com/zh/wiki/F-01-18_%E9%9D%A2%E5%A3%81%E5%A5%B3" TargetMode="External"/><Relationship Id="rId10" Type="http://schemas.openxmlformats.org/officeDocument/2006/relationships/hyperlink" Target="https://lobotomycorp.fandom.com/zh/wiki/O-01-15_%E6%97%A0%E5%90%8D%E6%80%AA%E5%A9%B4" TargetMode="Externa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4" Type="http://schemas.openxmlformats.org/officeDocument/2006/relationships/hyperlink" Target="https://lobotomycorp.fandom.com/zh/wiki/%E8%81%8C%E5%91%98" TargetMode="External"/><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H199"/>
  <sheetViews>
    <sheetView tabSelected="1" zoomScale="80" zoomScaleNormal="80" workbookViewId="0">
      <pane xSplit="2" ySplit="1" topLeftCell="C147" activePane="bottomRight" state="frozen"/>
      <selection/>
      <selection pane="topRight"/>
      <selection pane="bottomLeft"/>
      <selection pane="bottomRight" activeCell="C123" sqref="A1:H170"/>
    </sheetView>
  </sheetViews>
  <sheetFormatPr defaultColWidth="10" defaultRowHeight="13.2" outlineLevelCol="7"/>
  <cols>
    <col min="1" max="1" width="12.4166666666667" customWidth="1"/>
    <col min="2" max="2" width="24.5648148148148" customWidth="1"/>
    <col min="3" max="3" width="24.2962962962963" customWidth="1"/>
    <col min="4" max="4" width="65.4537037037037" customWidth="1"/>
    <col min="5" max="5" width="59.1018518518519" customWidth="1"/>
    <col min="6" max="6" width="49.25" customWidth="1"/>
    <col min="7" max="7" width="36.7037037037037" customWidth="1"/>
  </cols>
  <sheetData>
    <row r="1" ht="48" customHeight="1" spans="1:8">
      <c r="A1" s="77" t="s">
        <v>0</v>
      </c>
      <c r="B1" s="77" t="s">
        <v>1</v>
      </c>
      <c r="C1" s="78" t="s">
        <v>2</v>
      </c>
      <c r="D1" s="79" t="s">
        <v>3</v>
      </c>
      <c r="E1" s="80" t="s">
        <v>4</v>
      </c>
      <c r="F1" s="80" t="s">
        <v>5</v>
      </c>
      <c r="G1" s="80" t="s">
        <v>6</v>
      </c>
      <c r="H1" s="66" t="s">
        <v>7</v>
      </c>
    </row>
    <row r="2" ht="155" customHeight="1" spans="1:7">
      <c r="A2" s="81"/>
      <c r="B2" s="81"/>
      <c r="C2" s="81"/>
      <c r="D2" s="82" t="s">
        <v>8</v>
      </c>
      <c r="E2" s="83" t="s">
        <v>9</v>
      </c>
      <c r="F2" s="84" t="s">
        <v>10</v>
      </c>
      <c r="G2" s="85"/>
    </row>
    <row r="3" ht="28.95" spans="1:7">
      <c r="A3" s="86" t="s">
        <v>11</v>
      </c>
      <c r="B3" s="87" t="s">
        <v>12</v>
      </c>
      <c r="C3" s="88" t="s">
        <v>13</v>
      </c>
      <c r="D3" s="89" t="s">
        <v>14</v>
      </c>
      <c r="E3" s="90" t="s">
        <v>15</v>
      </c>
      <c r="F3" s="91" t="s">
        <v>16</v>
      </c>
      <c r="G3" s="92" t="s">
        <v>17</v>
      </c>
    </row>
    <row r="4" ht="28" customHeight="1" spans="1:7">
      <c r="A4" s="93"/>
      <c r="B4" s="93"/>
      <c r="C4" s="93"/>
      <c r="D4" s="94" t="s">
        <v>18</v>
      </c>
      <c r="E4" s="95" t="s">
        <v>19</v>
      </c>
      <c r="F4" s="96" t="s">
        <v>20</v>
      </c>
      <c r="G4" s="95" t="s">
        <v>21</v>
      </c>
    </row>
    <row r="5" ht="28.2" spans="1:7">
      <c r="A5" s="86" t="s">
        <v>22</v>
      </c>
      <c r="B5" s="87" t="s">
        <v>23</v>
      </c>
      <c r="C5" s="97" t="s">
        <v>24</v>
      </c>
      <c r="D5" s="98" t="s">
        <v>25</v>
      </c>
      <c r="E5" s="90" t="s">
        <v>26</v>
      </c>
      <c r="F5" s="91" t="s">
        <v>27</v>
      </c>
      <c r="G5" s="99"/>
    </row>
    <row r="6" ht="22" customHeight="1" spans="1:7">
      <c r="A6" s="93"/>
      <c r="B6" s="93"/>
      <c r="C6" s="93"/>
      <c r="D6" s="94" t="s">
        <v>28</v>
      </c>
      <c r="E6" s="95" t="s">
        <v>29</v>
      </c>
      <c r="F6" s="96" t="s">
        <v>30</v>
      </c>
      <c r="G6" s="22"/>
    </row>
    <row r="7" ht="28.2" spans="1:7">
      <c r="A7" s="86" t="s">
        <v>31</v>
      </c>
      <c r="B7" s="87" t="s">
        <v>32</v>
      </c>
      <c r="C7" s="100" t="s">
        <v>33</v>
      </c>
      <c r="D7" s="101" t="s">
        <v>34</v>
      </c>
      <c r="E7" s="102" t="s">
        <v>35</v>
      </c>
      <c r="F7" s="91" t="s">
        <v>36</v>
      </c>
      <c r="G7" s="103" t="s">
        <v>17</v>
      </c>
    </row>
    <row r="8" ht="62" customHeight="1" spans="1:7">
      <c r="A8" s="93"/>
      <c r="B8" s="93"/>
      <c r="C8" s="93"/>
      <c r="D8" s="94" t="s">
        <v>37</v>
      </c>
      <c r="E8" s="95" t="s">
        <v>38</v>
      </c>
      <c r="F8" s="95" t="s">
        <v>39</v>
      </c>
      <c r="G8" s="95" t="s">
        <v>40</v>
      </c>
    </row>
    <row r="9" ht="28.2" spans="1:7">
      <c r="A9" s="86" t="s">
        <v>41</v>
      </c>
      <c r="B9" s="87" t="s">
        <v>42</v>
      </c>
      <c r="C9" s="104" t="s">
        <v>43</v>
      </c>
      <c r="D9" s="101" t="s">
        <v>34</v>
      </c>
      <c r="E9" s="105" t="s">
        <v>44</v>
      </c>
      <c r="F9" s="106" t="s">
        <v>45</v>
      </c>
      <c r="G9" s="85"/>
    </row>
    <row r="10" ht="22" customHeight="1" spans="1:7">
      <c r="A10" s="93"/>
      <c r="B10" s="93"/>
      <c r="C10" s="93"/>
      <c r="D10" s="95" t="s">
        <v>46</v>
      </c>
      <c r="E10" s="95" t="s">
        <v>47</v>
      </c>
      <c r="F10" s="96" t="s">
        <v>48</v>
      </c>
      <c r="G10" s="107"/>
    </row>
    <row r="11" ht="28.2" spans="1:7">
      <c r="A11" s="86" t="s">
        <v>49</v>
      </c>
      <c r="B11" s="87" t="s">
        <v>50</v>
      </c>
      <c r="C11" s="104" t="s">
        <v>43</v>
      </c>
      <c r="D11" s="89" t="s">
        <v>14</v>
      </c>
      <c r="E11" s="105" t="s">
        <v>44</v>
      </c>
      <c r="F11" s="91" t="s">
        <v>51</v>
      </c>
      <c r="G11" s="85"/>
    </row>
    <row r="12" ht="22" customHeight="1" spans="1:7">
      <c r="A12" s="93"/>
      <c r="B12" s="93"/>
      <c r="C12" s="93"/>
      <c r="D12" s="95" t="s">
        <v>52</v>
      </c>
      <c r="E12" s="95" t="s">
        <v>53</v>
      </c>
      <c r="F12" s="96" t="s">
        <v>54</v>
      </c>
      <c r="G12" s="107"/>
    </row>
    <row r="13" ht="28.2" spans="1:7">
      <c r="A13" s="86" t="s">
        <v>55</v>
      </c>
      <c r="B13" s="87" t="s">
        <v>56</v>
      </c>
      <c r="C13" s="88" t="s">
        <v>13</v>
      </c>
      <c r="D13" s="89" t="s">
        <v>14</v>
      </c>
      <c r="E13" s="108" t="s">
        <v>57</v>
      </c>
      <c r="F13" s="109" t="s">
        <v>57</v>
      </c>
      <c r="G13" s="22"/>
    </row>
    <row r="14" ht="22" customHeight="1" spans="1:7">
      <c r="A14" s="93"/>
      <c r="B14" s="93"/>
      <c r="C14" s="93"/>
      <c r="D14" s="95" t="s">
        <v>58</v>
      </c>
      <c r="E14" s="93"/>
      <c r="F14" s="93"/>
      <c r="G14" s="85"/>
    </row>
    <row r="15" ht="28.2" spans="1:7">
      <c r="A15" s="86" t="s">
        <v>59</v>
      </c>
      <c r="B15" s="87" t="s">
        <v>60</v>
      </c>
      <c r="C15" s="88" t="s">
        <v>13</v>
      </c>
      <c r="D15" s="89" t="s">
        <v>14</v>
      </c>
      <c r="E15" s="102" t="s">
        <v>61</v>
      </c>
      <c r="F15" s="110" t="s">
        <v>62</v>
      </c>
      <c r="G15" s="103"/>
    </row>
    <row r="16" ht="26" customHeight="1" spans="1:7">
      <c r="A16" s="93"/>
      <c r="B16" s="93"/>
      <c r="C16" s="93"/>
      <c r="D16" s="94" t="s">
        <v>63</v>
      </c>
      <c r="E16" s="95" t="s">
        <v>64</v>
      </c>
      <c r="F16" s="96" t="s">
        <v>65</v>
      </c>
      <c r="G16" s="95"/>
    </row>
    <row r="17" ht="28.2" spans="1:7">
      <c r="A17" s="86" t="s">
        <v>66</v>
      </c>
      <c r="B17" s="87" t="s">
        <v>67</v>
      </c>
      <c r="C17" s="104" t="s">
        <v>43</v>
      </c>
      <c r="D17" s="101" t="s">
        <v>34</v>
      </c>
      <c r="E17" s="102" t="s">
        <v>68</v>
      </c>
      <c r="F17" s="91" t="s">
        <v>51</v>
      </c>
      <c r="G17" s="103"/>
    </row>
    <row r="18" ht="22" customHeight="1" spans="1:7">
      <c r="A18" s="93"/>
      <c r="B18" s="93"/>
      <c r="C18" s="93"/>
      <c r="D18" s="94" t="s">
        <v>69</v>
      </c>
      <c r="E18" s="95" t="s">
        <v>70</v>
      </c>
      <c r="F18" s="96" t="s">
        <v>71</v>
      </c>
      <c r="G18" s="95"/>
    </row>
    <row r="19" ht="28.2" spans="1:7">
      <c r="A19" s="86" t="s">
        <v>72</v>
      </c>
      <c r="B19" s="87" t="s">
        <v>73</v>
      </c>
      <c r="C19" s="88" t="s">
        <v>13</v>
      </c>
      <c r="D19" s="89" t="s">
        <v>14</v>
      </c>
      <c r="E19" s="102" t="s">
        <v>74</v>
      </c>
      <c r="F19" s="91" t="s">
        <v>16</v>
      </c>
      <c r="G19" s="103"/>
    </row>
    <row r="20" ht="22" customHeight="1" spans="1:7">
      <c r="A20" s="93"/>
      <c r="B20" s="93"/>
      <c r="C20" s="93"/>
      <c r="D20" s="94" t="s">
        <v>75</v>
      </c>
      <c r="E20" s="95" t="s">
        <v>76</v>
      </c>
      <c r="F20" s="96" t="s">
        <v>77</v>
      </c>
      <c r="G20" s="95"/>
    </row>
    <row r="21" ht="28.2" spans="1:7">
      <c r="A21" s="86" t="s">
        <v>78</v>
      </c>
      <c r="B21" s="87" t="s">
        <v>79</v>
      </c>
      <c r="C21" s="111" t="s">
        <v>80</v>
      </c>
      <c r="D21" s="89" t="s">
        <v>14</v>
      </c>
      <c r="E21" s="102" t="s">
        <v>81</v>
      </c>
      <c r="F21" s="91" t="s">
        <v>82</v>
      </c>
      <c r="G21" s="103" t="s">
        <v>17</v>
      </c>
    </row>
    <row r="22" ht="25" customHeight="1" spans="1:7">
      <c r="A22" s="93"/>
      <c r="B22" s="93"/>
      <c r="C22" s="93"/>
      <c r="D22" s="95" t="s">
        <v>83</v>
      </c>
      <c r="E22" s="95" t="s">
        <v>84</v>
      </c>
      <c r="F22" s="96" t="s">
        <v>85</v>
      </c>
      <c r="G22" s="95" t="s">
        <v>40</v>
      </c>
    </row>
    <row r="23" ht="37" customHeight="1" spans="1:7">
      <c r="A23" s="86" t="s">
        <v>86</v>
      </c>
      <c r="B23" s="87" t="s">
        <v>87</v>
      </c>
      <c r="C23" s="88" t="s">
        <v>13</v>
      </c>
      <c r="D23" s="90" t="s">
        <v>14</v>
      </c>
      <c r="E23" s="109" t="s">
        <v>57</v>
      </c>
      <c r="F23" s="91" t="s">
        <v>16</v>
      </c>
      <c r="G23" s="103"/>
    </row>
    <row r="24" ht="22" customHeight="1" spans="1:7">
      <c r="A24" s="93"/>
      <c r="B24" s="93"/>
      <c r="C24" s="93"/>
      <c r="D24" s="94" t="s">
        <v>88</v>
      </c>
      <c r="E24" s="93"/>
      <c r="F24" s="96" t="s">
        <v>89</v>
      </c>
      <c r="G24" s="95"/>
    </row>
    <row r="25" ht="37" customHeight="1" spans="1:7">
      <c r="A25" s="86" t="s">
        <v>90</v>
      </c>
      <c r="B25" s="87" t="s">
        <v>91</v>
      </c>
      <c r="C25" s="104" t="s">
        <v>43</v>
      </c>
      <c r="D25" s="101" t="s">
        <v>34</v>
      </c>
      <c r="E25" s="105" t="s">
        <v>92</v>
      </c>
      <c r="F25" s="112" t="s">
        <v>57</v>
      </c>
      <c r="G25" s="103"/>
    </row>
    <row r="26" ht="22" customHeight="1" spans="1:7">
      <c r="A26" s="93"/>
      <c r="B26" s="93"/>
      <c r="C26" s="93"/>
      <c r="D26" s="94" t="s">
        <v>93</v>
      </c>
      <c r="E26" s="95" t="s">
        <v>94</v>
      </c>
      <c r="F26" s="93"/>
      <c r="G26" s="95"/>
    </row>
    <row r="27" ht="28.2" spans="1:7">
      <c r="A27" s="86" t="s">
        <v>95</v>
      </c>
      <c r="B27" s="87" t="s">
        <v>96</v>
      </c>
      <c r="C27" s="111" t="s">
        <v>80</v>
      </c>
      <c r="D27" s="101" t="s">
        <v>34</v>
      </c>
      <c r="E27" s="113" t="s">
        <v>97</v>
      </c>
      <c r="F27" s="91" t="s">
        <v>82</v>
      </c>
      <c r="G27" s="103" t="s">
        <v>17</v>
      </c>
    </row>
    <row r="28" ht="22" customHeight="1" spans="1:7">
      <c r="A28" s="93"/>
      <c r="B28" s="93"/>
      <c r="C28" s="93"/>
      <c r="D28" s="94" t="s">
        <v>98</v>
      </c>
      <c r="E28" s="95" t="s">
        <v>99</v>
      </c>
      <c r="F28" s="96" t="s">
        <v>100</v>
      </c>
      <c r="G28" s="95" t="s">
        <v>21</v>
      </c>
    </row>
    <row r="29" ht="28.2" spans="1:7">
      <c r="A29" s="86" t="s">
        <v>101</v>
      </c>
      <c r="B29" s="87" t="s">
        <v>102</v>
      </c>
      <c r="C29" s="104" t="s">
        <v>43</v>
      </c>
      <c r="D29" s="101" t="s">
        <v>34</v>
      </c>
      <c r="E29" s="113" t="s">
        <v>103</v>
      </c>
      <c r="F29" s="106" t="s">
        <v>45</v>
      </c>
      <c r="G29" s="103" t="s">
        <v>17</v>
      </c>
    </row>
    <row r="30" ht="22" customHeight="1" spans="1:7">
      <c r="A30" s="93"/>
      <c r="B30" s="93"/>
      <c r="C30" s="93"/>
      <c r="D30" s="95" t="s">
        <v>104</v>
      </c>
      <c r="E30" s="95" t="s">
        <v>105</v>
      </c>
      <c r="F30" s="96" t="s">
        <v>106</v>
      </c>
      <c r="G30" s="95" t="s">
        <v>107</v>
      </c>
    </row>
    <row r="31" ht="28.2" spans="1:7">
      <c r="A31" s="86" t="s">
        <v>108</v>
      </c>
      <c r="B31" s="87" t="s">
        <v>109</v>
      </c>
      <c r="C31" s="104" t="s">
        <v>43</v>
      </c>
      <c r="D31" s="114" t="s">
        <v>110</v>
      </c>
      <c r="E31" s="102" t="s">
        <v>111</v>
      </c>
      <c r="F31" s="91" t="s">
        <v>51</v>
      </c>
      <c r="G31" s="103"/>
    </row>
    <row r="32" ht="22" customHeight="1" spans="1:7">
      <c r="A32" s="93"/>
      <c r="B32" s="93"/>
      <c r="C32" s="93"/>
      <c r="D32" s="95" t="s">
        <v>112</v>
      </c>
      <c r="E32" s="95" t="s">
        <v>113</v>
      </c>
      <c r="F32" s="96" t="s">
        <v>114</v>
      </c>
      <c r="G32" s="95"/>
    </row>
    <row r="33" ht="28.2" spans="1:7">
      <c r="A33" s="86" t="s">
        <v>115</v>
      </c>
      <c r="B33" s="87" t="s">
        <v>116</v>
      </c>
      <c r="C33" s="100" t="s">
        <v>33</v>
      </c>
      <c r="D33" s="101" t="s">
        <v>34</v>
      </c>
      <c r="E33" s="102" t="s">
        <v>117</v>
      </c>
      <c r="F33" s="115" t="s">
        <v>118</v>
      </c>
      <c r="G33" s="103" t="s">
        <v>17</v>
      </c>
    </row>
    <row r="34" ht="22" customHeight="1" spans="1:7">
      <c r="A34" s="93"/>
      <c r="B34" s="93"/>
      <c r="C34" s="93"/>
      <c r="D34" s="94" t="s">
        <v>119</v>
      </c>
      <c r="E34" s="95" t="s">
        <v>120</v>
      </c>
      <c r="F34" s="96" t="s">
        <v>121</v>
      </c>
      <c r="G34" s="95" t="s">
        <v>122</v>
      </c>
    </row>
    <row r="35" ht="28.2" spans="1:7">
      <c r="A35" s="86" t="s">
        <v>123</v>
      </c>
      <c r="B35" s="87" t="s">
        <v>124</v>
      </c>
      <c r="C35" s="104" t="s">
        <v>43</v>
      </c>
      <c r="D35" s="89" t="s">
        <v>14</v>
      </c>
      <c r="E35" s="113" t="s">
        <v>125</v>
      </c>
      <c r="F35" s="91" t="s">
        <v>51</v>
      </c>
      <c r="G35" s="103" t="s">
        <v>17</v>
      </c>
    </row>
    <row r="36" ht="24" customHeight="1" spans="1:7">
      <c r="A36" s="93"/>
      <c r="B36" s="93"/>
      <c r="C36" s="93"/>
      <c r="D36" s="94" t="s">
        <v>126</v>
      </c>
      <c r="E36" s="95" t="s">
        <v>127</v>
      </c>
      <c r="F36" s="96" t="s">
        <v>128</v>
      </c>
      <c r="G36" s="95" t="s">
        <v>21</v>
      </c>
    </row>
    <row r="37" ht="79" customHeight="1" spans="1:7">
      <c r="A37" s="86" t="s">
        <v>129</v>
      </c>
      <c r="B37" s="87" t="s">
        <v>130</v>
      </c>
      <c r="C37" s="100" t="s">
        <v>33</v>
      </c>
      <c r="D37" s="89" t="s">
        <v>14</v>
      </c>
      <c r="E37" s="90" t="s">
        <v>131</v>
      </c>
      <c r="F37" s="110" t="s">
        <v>132</v>
      </c>
      <c r="G37" s="103" t="s">
        <v>17</v>
      </c>
    </row>
    <row r="38" ht="28" customHeight="1" spans="1:7">
      <c r="A38" s="93"/>
      <c r="B38" s="93"/>
      <c r="C38" s="93"/>
      <c r="D38" s="95" t="s">
        <v>133</v>
      </c>
      <c r="E38" s="95" t="s">
        <v>134</v>
      </c>
      <c r="F38" s="96" t="s">
        <v>135</v>
      </c>
      <c r="G38" s="95" t="s">
        <v>40</v>
      </c>
    </row>
    <row r="39" ht="28.2" spans="1:7">
      <c r="A39" s="86" t="s">
        <v>136</v>
      </c>
      <c r="B39" s="87" t="s">
        <v>137</v>
      </c>
      <c r="C39" s="88" t="s">
        <v>13</v>
      </c>
      <c r="D39" s="89" t="s">
        <v>14</v>
      </c>
      <c r="E39" s="105" t="s">
        <v>138</v>
      </c>
      <c r="F39" s="115" t="s">
        <v>139</v>
      </c>
      <c r="G39" s="103"/>
    </row>
    <row r="40" ht="28" customHeight="1" spans="1:7">
      <c r="A40" s="93"/>
      <c r="B40" s="93"/>
      <c r="C40" s="93"/>
      <c r="D40" s="94" t="s">
        <v>140</v>
      </c>
      <c r="E40" s="95" t="s">
        <v>141</v>
      </c>
      <c r="F40" s="96" t="s">
        <v>142</v>
      </c>
      <c r="G40" s="95"/>
    </row>
    <row r="41" ht="28.2" spans="1:7">
      <c r="A41" s="86" t="s">
        <v>143</v>
      </c>
      <c r="B41" s="87" t="s">
        <v>144</v>
      </c>
      <c r="C41" s="88" t="s">
        <v>13</v>
      </c>
      <c r="D41" s="89" t="s">
        <v>14</v>
      </c>
      <c r="E41" s="116" t="s">
        <v>145</v>
      </c>
      <c r="F41" s="113" t="s">
        <v>146</v>
      </c>
      <c r="G41" s="103"/>
    </row>
    <row r="42" ht="28" customHeight="1" spans="1:7">
      <c r="A42" s="93"/>
      <c r="B42" s="93"/>
      <c r="C42" s="93"/>
      <c r="D42" s="95" t="s">
        <v>147</v>
      </c>
      <c r="E42" s="95" t="s">
        <v>148</v>
      </c>
      <c r="F42" s="96" t="s">
        <v>149</v>
      </c>
      <c r="G42" s="95"/>
    </row>
    <row r="43" ht="47" customHeight="1" spans="1:7">
      <c r="A43" s="117" t="s">
        <v>150</v>
      </c>
      <c r="B43" s="118" t="s">
        <v>151</v>
      </c>
      <c r="C43" s="119" t="s">
        <v>24</v>
      </c>
      <c r="D43" s="105" t="s">
        <v>152</v>
      </c>
      <c r="E43" s="102" t="s">
        <v>153</v>
      </c>
      <c r="F43" s="120" t="s">
        <v>154</v>
      </c>
      <c r="G43" s="103" t="s">
        <v>17</v>
      </c>
    </row>
    <row r="44" ht="33" customHeight="1"/>
    <row r="45" ht="19" customHeight="1" spans="1:7">
      <c r="A45" s="86" t="s">
        <v>155</v>
      </c>
      <c r="B45" s="87" t="s">
        <v>156</v>
      </c>
      <c r="C45" s="111" t="s">
        <v>80</v>
      </c>
      <c r="D45" s="94" t="s">
        <v>157</v>
      </c>
      <c r="E45" s="95" t="s">
        <v>158</v>
      </c>
      <c r="F45" s="95" t="s">
        <v>159</v>
      </c>
      <c r="G45" s="95" t="s">
        <v>40</v>
      </c>
    </row>
    <row r="46" ht="87" customHeight="1" spans="1:7">
      <c r="A46" s="93"/>
      <c r="B46" s="93"/>
      <c r="C46" s="93"/>
      <c r="D46" s="93"/>
      <c r="E46" s="93"/>
      <c r="F46" s="93"/>
      <c r="G46" s="121"/>
    </row>
    <row r="47" ht="37" customHeight="1" spans="1:7">
      <c r="A47" s="86" t="s">
        <v>160</v>
      </c>
      <c r="B47" s="87" t="s">
        <v>161</v>
      </c>
      <c r="C47" s="97" t="s">
        <v>24</v>
      </c>
      <c r="D47" s="101" t="s">
        <v>34</v>
      </c>
      <c r="E47" s="109" t="s">
        <v>57</v>
      </c>
      <c r="F47" s="122" t="s">
        <v>57</v>
      </c>
      <c r="G47" s="103"/>
    </row>
    <row r="48" ht="28" customHeight="1" spans="1:7">
      <c r="A48" s="93"/>
      <c r="B48" s="93"/>
      <c r="C48" s="93"/>
      <c r="D48" s="94" t="s">
        <v>162</v>
      </c>
      <c r="E48" s="93"/>
      <c r="F48" s="93"/>
      <c r="G48" s="95"/>
    </row>
    <row r="49" ht="28.2" spans="1:7">
      <c r="A49" s="86" t="s">
        <v>163</v>
      </c>
      <c r="B49" s="87" t="s">
        <v>164</v>
      </c>
      <c r="C49" s="104" t="s">
        <v>43</v>
      </c>
      <c r="D49" s="89" t="s">
        <v>14</v>
      </c>
      <c r="E49" s="123" t="s">
        <v>165</v>
      </c>
      <c r="F49" s="124" t="s">
        <v>51</v>
      </c>
      <c r="G49" s="103" t="s">
        <v>17</v>
      </c>
    </row>
    <row r="50" ht="28" customHeight="1" spans="1:7">
      <c r="A50" s="93"/>
      <c r="B50" s="93"/>
      <c r="C50" s="93"/>
      <c r="D50" s="94" t="s">
        <v>166</v>
      </c>
      <c r="E50" s="95" t="s">
        <v>167</v>
      </c>
      <c r="F50" s="96" t="s">
        <v>168</v>
      </c>
      <c r="G50" s="95" t="s">
        <v>21</v>
      </c>
    </row>
    <row r="51" ht="28.2" spans="1:7">
      <c r="A51" s="86" t="s">
        <v>169</v>
      </c>
      <c r="B51" s="87" t="s">
        <v>170</v>
      </c>
      <c r="C51" s="100" t="s">
        <v>33</v>
      </c>
      <c r="D51" s="89" t="s">
        <v>14</v>
      </c>
      <c r="E51" s="102" t="s">
        <v>171</v>
      </c>
      <c r="F51" s="115" t="s">
        <v>118</v>
      </c>
      <c r="G51" s="103"/>
    </row>
    <row r="52" ht="50" customHeight="1" spans="1:7">
      <c r="A52" s="93"/>
      <c r="B52" s="93"/>
      <c r="C52" s="93"/>
      <c r="D52" s="95" t="s">
        <v>172</v>
      </c>
      <c r="E52" s="95" t="s">
        <v>173</v>
      </c>
      <c r="F52" s="96" t="s">
        <v>174</v>
      </c>
      <c r="G52" s="95"/>
    </row>
    <row r="53" ht="28.2" spans="1:7">
      <c r="A53" s="86" t="s">
        <v>175</v>
      </c>
      <c r="B53" s="125" t="s">
        <v>176</v>
      </c>
      <c r="C53" s="88" t="s">
        <v>13</v>
      </c>
      <c r="D53" s="89" t="s">
        <v>14</v>
      </c>
      <c r="E53" s="105" t="s">
        <v>177</v>
      </c>
      <c r="F53" s="91" t="s">
        <v>16</v>
      </c>
      <c r="G53" s="103"/>
    </row>
    <row r="54" ht="28" customHeight="1" spans="1:7">
      <c r="A54" s="93"/>
      <c r="B54" s="93"/>
      <c r="C54" s="93"/>
      <c r="D54" s="95" t="s">
        <v>178</v>
      </c>
      <c r="E54" s="95" t="s">
        <v>179</v>
      </c>
      <c r="F54" s="96" t="s">
        <v>180</v>
      </c>
      <c r="G54" s="95"/>
    </row>
    <row r="55" ht="28.2" spans="1:7">
      <c r="A55" s="86" t="s">
        <v>181</v>
      </c>
      <c r="B55" s="87" t="s">
        <v>182</v>
      </c>
      <c r="C55" s="97" t="s">
        <v>24</v>
      </c>
      <c r="D55" s="89" t="s">
        <v>14</v>
      </c>
      <c r="E55" s="102" t="s">
        <v>183</v>
      </c>
      <c r="F55" s="124" t="s">
        <v>27</v>
      </c>
      <c r="G55" s="103"/>
    </row>
    <row r="56" ht="28" customHeight="1" spans="1:7">
      <c r="A56" s="93"/>
      <c r="B56" s="93"/>
      <c r="C56" s="93"/>
      <c r="D56" s="94" t="s">
        <v>184</v>
      </c>
      <c r="E56" s="95" t="s">
        <v>185</v>
      </c>
      <c r="F56" s="96" t="s">
        <v>186</v>
      </c>
      <c r="G56" s="95"/>
    </row>
    <row r="57" ht="28.2" spans="1:7">
      <c r="A57" s="86" t="s">
        <v>187</v>
      </c>
      <c r="B57" s="87" t="s">
        <v>188</v>
      </c>
      <c r="C57" s="100" t="s">
        <v>33</v>
      </c>
      <c r="D57" s="105" t="s">
        <v>34</v>
      </c>
      <c r="E57" s="116" t="s">
        <v>189</v>
      </c>
      <c r="F57" s="110" t="s">
        <v>132</v>
      </c>
      <c r="G57" s="103" t="s">
        <v>17</v>
      </c>
    </row>
    <row r="58" ht="28" customHeight="1" spans="1:7">
      <c r="A58" s="93"/>
      <c r="B58" s="93"/>
      <c r="C58" s="93"/>
      <c r="D58" s="94" t="s">
        <v>190</v>
      </c>
      <c r="E58" s="95" t="s">
        <v>191</v>
      </c>
      <c r="F58" s="96" t="s">
        <v>192</v>
      </c>
      <c r="G58" s="95" t="s">
        <v>40</v>
      </c>
    </row>
    <row r="59" ht="28.2" spans="1:7">
      <c r="A59" s="86" t="s">
        <v>193</v>
      </c>
      <c r="B59" s="87" t="s">
        <v>194</v>
      </c>
      <c r="C59" s="88" t="s">
        <v>13</v>
      </c>
      <c r="D59" s="89" t="s">
        <v>14</v>
      </c>
      <c r="E59" s="105" t="s">
        <v>195</v>
      </c>
      <c r="F59" s="91" t="s">
        <v>16</v>
      </c>
      <c r="G59" s="103" t="s">
        <v>17</v>
      </c>
    </row>
    <row r="60" ht="28" customHeight="1" spans="1:7">
      <c r="A60" s="93"/>
      <c r="B60" s="93"/>
      <c r="C60" s="93"/>
      <c r="D60" s="95" t="s">
        <v>196</v>
      </c>
      <c r="E60" s="95" t="s">
        <v>197</v>
      </c>
      <c r="F60" s="96" t="s">
        <v>198</v>
      </c>
      <c r="G60" s="95" t="s">
        <v>21</v>
      </c>
    </row>
    <row r="61" ht="28.2" spans="1:7">
      <c r="A61" s="86" t="s">
        <v>199</v>
      </c>
      <c r="B61" s="87" t="s">
        <v>200</v>
      </c>
      <c r="C61" s="104" t="s">
        <v>43</v>
      </c>
      <c r="D61" s="89" t="s">
        <v>14</v>
      </c>
      <c r="E61" s="90" t="s">
        <v>201</v>
      </c>
      <c r="F61" s="110" t="s">
        <v>45</v>
      </c>
      <c r="G61" s="103"/>
    </row>
    <row r="62" ht="31" customHeight="1" spans="1:7">
      <c r="A62" s="93"/>
      <c r="B62" s="93"/>
      <c r="C62" s="93"/>
      <c r="D62" s="95" t="s">
        <v>202</v>
      </c>
      <c r="E62" s="95" t="s">
        <v>203</v>
      </c>
      <c r="F62" s="96" t="s">
        <v>204</v>
      </c>
      <c r="G62" s="95"/>
    </row>
    <row r="63" ht="34" customHeight="1" spans="1:7">
      <c r="A63" s="86" t="s">
        <v>205</v>
      </c>
      <c r="B63" s="87" t="s">
        <v>206</v>
      </c>
      <c r="C63" s="88" t="s">
        <v>13</v>
      </c>
      <c r="D63" s="89" t="s">
        <v>14</v>
      </c>
      <c r="E63" s="116" t="s">
        <v>61</v>
      </c>
      <c r="F63" s="113" t="s">
        <v>146</v>
      </c>
      <c r="G63" s="103" t="s">
        <v>17</v>
      </c>
    </row>
    <row r="64" ht="28" customHeight="1" spans="1:7">
      <c r="A64" s="93"/>
      <c r="B64" s="93"/>
      <c r="C64" s="93"/>
      <c r="D64" s="94" t="s">
        <v>207</v>
      </c>
      <c r="E64" s="95" t="s">
        <v>208</v>
      </c>
      <c r="F64" s="96" t="s">
        <v>209</v>
      </c>
      <c r="G64" s="95" t="s">
        <v>210</v>
      </c>
    </row>
    <row r="65" ht="56.4" spans="1:7">
      <c r="A65" s="86" t="s">
        <v>211</v>
      </c>
      <c r="B65" s="87" t="s">
        <v>212</v>
      </c>
      <c r="C65" s="100" t="s">
        <v>33</v>
      </c>
      <c r="D65" s="90" t="s">
        <v>213</v>
      </c>
      <c r="E65" s="113" t="s">
        <v>214</v>
      </c>
      <c r="F65" s="116" t="s">
        <v>215</v>
      </c>
      <c r="G65" s="103" t="s">
        <v>17</v>
      </c>
    </row>
    <row r="66" ht="39.6" spans="1:7">
      <c r="A66" s="93"/>
      <c r="B66" s="93"/>
      <c r="C66" s="93"/>
      <c r="D66" s="95" t="s">
        <v>216</v>
      </c>
      <c r="E66" s="95" t="s">
        <v>217</v>
      </c>
      <c r="F66" s="96" t="s">
        <v>218</v>
      </c>
      <c r="G66" s="95" t="s">
        <v>219</v>
      </c>
    </row>
    <row r="67" ht="28.2" spans="1:7">
      <c r="A67" s="86" t="s">
        <v>220</v>
      </c>
      <c r="B67" s="87" t="s">
        <v>221</v>
      </c>
      <c r="C67" s="100" t="s">
        <v>33</v>
      </c>
      <c r="D67" s="89" t="s">
        <v>14</v>
      </c>
      <c r="E67" s="113" t="s">
        <v>222</v>
      </c>
      <c r="F67" s="91" t="s">
        <v>36</v>
      </c>
      <c r="G67" s="103" t="s">
        <v>223</v>
      </c>
    </row>
    <row r="68" ht="28" customHeight="1" spans="1:7">
      <c r="A68" s="93"/>
      <c r="B68" s="93"/>
      <c r="C68" s="93"/>
      <c r="D68" s="94" t="s">
        <v>224</v>
      </c>
      <c r="E68" s="95" t="s">
        <v>225</v>
      </c>
      <c r="F68" s="96" t="s">
        <v>226</v>
      </c>
      <c r="G68" s="95" t="s">
        <v>227</v>
      </c>
    </row>
    <row r="69" ht="28.2" spans="1:7">
      <c r="A69" s="86" t="s">
        <v>228</v>
      </c>
      <c r="B69" s="87" t="s">
        <v>229</v>
      </c>
      <c r="C69" s="88" t="s">
        <v>13</v>
      </c>
      <c r="D69" s="89" t="s">
        <v>14</v>
      </c>
      <c r="E69" s="116" t="s">
        <v>145</v>
      </c>
      <c r="F69" s="106" t="s">
        <v>62</v>
      </c>
      <c r="G69" s="103" t="s">
        <v>17</v>
      </c>
    </row>
    <row r="70" ht="28" customHeight="1" spans="1:7">
      <c r="A70" s="93"/>
      <c r="B70" s="93"/>
      <c r="C70" s="93"/>
      <c r="D70" s="94" t="s">
        <v>230</v>
      </c>
      <c r="E70" s="95" t="s">
        <v>231</v>
      </c>
      <c r="F70" s="96" t="s">
        <v>232</v>
      </c>
      <c r="G70" s="95" t="s">
        <v>21</v>
      </c>
    </row>
    <row r="71" ht="28.2" spans="1:7">
      <c r="A71" s="86" t="s">
        <v>233</v>
      </c>
      <c r="B71" s="87" t="s">
        <v>234</v>
      </c>
      <c r="C71" s="88" t="s">
        <v>13</v>
      </c>
      <c r="D71" s="89" t="s">
        <v>14</v>
      </c>
      <c r="E71" s="116" t="s">
        <v>235</v>
      </c>
      <c r="F71" s="115" t="s">
        <v>139</v>
      </c>
      <c r="G71" s="103"/>
    </row>
    <row r="72" ht="28" customHeight="1" spans="1:7">
      <c r="A72" s="93"/>
      <c r="B72" s="93"/>
      <c r="C72" s="93"/>
      <c r="D72" s="94" t="s">
        <v>236</v>
      </c>
      <c r="E72" s="95" t="s">
        <v>237</v>
      </c>
      <c r="F72" s="96" t="s">
        <v>238</v>
      </c>
      <c r="G72" s="95"/>
    </row>
    <row r="73" ht="28.2" spans="1:7">
      <c r="A73" s="86" t="s">
        <v>239</v>
      </c>
      <c r="B73" s="87" t="s">
        <v>240</v>
      </c>
      <c r="C73" s="100" t="s">
        <v>33</v>
      </c>
      <c r="D73" s="89" t="s">
        <v>14</v>
      </c>
      <c r="E73" s="113" t="s">
        <v>97</v>
      </c>
      <c r="F73" s="91" t="s">
        <v>82</v>
      </c>
      <c r="G73" s="103" t="s">
        <v>17</v>
      </c>
    </row>
    <row r="74" ht="28" customHeight="1" spans="1:7">
      <c r="A74" s="93"/>
      <c r="B74" s="93"/>
      <c r="C74" s="93"/>
      <c r="D74" s="94" t="s">
        <v>241</v>
      </c>
      <c r="E74" s="95" t="s">
        <v>242</v>
      </c>
      <c r="F74" s="96" t="s">
        <v>243</v>
      </c>
      <c r="G74" s="95" t="s">
        <v>21</v>
      </c>
    </row>
    <row r="75" ht="37" customHeight="1" spans="1:7">
      <c r="A75" s="86" t="s">
        <v>244</v>
      </c>
      <c r="B75" s="87" t="s">
        <v>245</v>
      </c>
      <c r="C75" s="111" t="s">
        <v>80</v>
      </c>
      <c r="D75" s="109" t="s">
        <v>25</v>
      </c>
      <c r="E75" s="102" t="s">
        <v>246</v>
      </c>
      <c r="F75" s="116" t="s">
        <v>247</v>
      </c>
      <c r="G75" s="103" t="s">
        <v>17</v>
      </c>
    </row>
    <row r="76" ht="28" customHeight="1" spans="1:7">
      <c r="A76" s="93"/>
      <c r="B76" s="93"/>
      <c r="C76" s="93"/>
      <c r="D76" s="93"/>
      <c r="E76" s="95" t="s">
        <v>248</v>
      </c>
      <c r="F76" s="96" t="s">
        <v>249</v>
      </c>
      <c r="G76" s="95" t="s">
        <v>250</v>
      </c>
    </row>
    <row r="77" ht="28.2" spans="1:7">
      <c r="A77" s="86" t="s">
        <v>251</v>
      </c>
      <c r="B77" s="87" t="s">
        <v>252</v>
      </c>
      <c r="C77" s="100" t="s">
        <v>33</v>
      </c>
      <c r="D77" s="89" t="s">
        <v>14</v>
      </c>
      <c r="E77" s="113" t="s">
        <v>253</v>
      </c>
      <c r="F77" s="91" t="s">
        <v>36</v>
      </c>
      <c r="G77" s="103" t="s">
        <v>17</v>
      </c>
    </row>
    <row r="78" ht="28" customHeight="1" spans="1:7">
      <c r="A78" s="93"/>
      <c r="B78" s="93"/>
      <c r="C78" s="93"/>
      <c r="D78" s="94" t="s">
        <v>254</v>
      </c>
      <c r="E78" s="95" t="s">
        <v>255</v>
      </c>
      <c r="F78" s="96" t="s">
        <v>256</v>
      </c>
      <c r="G78" s="95" t="s">
        <v>21</v>
      </c>
    </row>
    <row r="79" ht="28.2" spans="1:7">
      <c r="A79" s="86" t="s">
        <v>257</v>
      </c>
      <c r="B79" s="87" t="s">
        <v>258</v>
      </c>
      <c r="C79" s="100" t="s">
        <v>33</v>
      </c>
      <c r="D79" s="101" t="s">
        <v>34</v>
      </c>
      <c r="E79" s="102" t="s">
        <v>259</v>
      </c>
      <c r="F79" s="123" t="s">
        <v>260</v>
      </c>
      <c r="G79" s="103"/>
    </row>
    <row r="80" ht="28" customHeight="1" spans="1:7">
      <c r="A80" s="93"/>
      <c r="B80" s="93"/>
      <c r="C80" s="93"/>
      <c r="D80" s="94" t="s">
        <v>261</v>
      </c>
      <c r="E80" s="95" t="s">
        <v>262</v>
      </c>
      <c r="F80" s="96" t="s">
        <v>263</v>
      </c>
      <c r="G80" s="95"/>
    </row>
    <row r="81" ht="28.2" spans="1:7">
      <c r="A81" s="86" t="s">
        <v>264</v>
      </c>
      <c r="B81" s="87" t="s">
        <v>265</v>
      </c>
      <c r="C81" s="104" t="s">
        <v>43</v>
      </c>
      <c r="D81" s="89" t="s">
        <v>14</v>
      </c>
      <c r="E81" s="102" t="s">
        <v>266</v>
      </c>
      <c r="F81" s="115" t="s">
        <v>267</v>
      </c>
      <c r="G81" s="85"/>
    </row>
    <row r="82" ht="28" customHeight="1" spans="1:7">
      <c r="A82" s="93"/>
      <c r="B82" s="93"/>
      <c r="C82" s="93"/>
      <c r="D82" s="94" t="s">
        <v>268</v>
      </c>
      <c r="E82" s="95" t="s">
        <v>269</v>
      </c>
      <c r="F82" s="96" t="s">
        <v>270</v>
      </c>
      <c r="G82" s="107"/>
    </row>
    <row r="83" ht="28.2" spans="1:7">
      <c r="A83" s="86" t="s">
        <v>271</v>
      </c>
      <c r="B83" s="87" t="s">
        <v>272</v>
      </c>
      <c r="C83" s="104" t="s">
        <v>43</v>
      </c>
      <c r="D83" s="89" t="s">
        <v>14</v>
      </c>
      <c r="E83" s="90" t="s">
        <v>273</v>
      </c>
      <c r="F83" s="124" t="s">
        <v>51</v>
      </c>
      <c r="G83" s="103" t="s">
        <v>17</v>
      </c>
    </row>
    <row r="84" ht="28" customHeight="1" spans="1:7">
      <c r="A84" s="93"/>
      <c r="B84" s="93"/>
      <c r="C84" s="93"/>
      <c r="D84" s="94" t="s">
        <v>274</v>
      </c>
      <c r="E84" s="95" t="s">
        <v>275</v>
      </c>
      <c r="F84" s="96" t="s">
        <v>276</v>
      </c>
      <c r="G84" s="95" t="s">
        <v>21</v>
      </c>
    </row>
    <row r="85" ht="28.2" spans="1:7">
      <c r="A85" s="86" t="s">
        <v>277</v>
      </c>
      <c r="B85" s="125" t="s">
        <v>278</v>
      </c>
      <c r="C85" s="104" t="s">
        <v>43</v>
      </c>
      <c r="D85" s="114" t="s">
        <v>110</v>
      </c>
      <c r="E85" s="102" t="s">
        <v>279</v>
      </c>
      <c r="F85" s="115" t="s">
        <v>267</v>
      </c>
      <c r="G85" s="85"/>
    </row>
    <row r="86" ht="28" customHeight="1" spans="1:7">
      <c r="A86" s="93"/>
      <c r="B86" s="93"/>
      <c r="C86" s="93"/>
      <c r="D86" s="94" t="s">
        <v>280</v>
      </c>
      <c r="E86" s="95" t="s">
        <v>281</v>
      </c>
      <c r="F86" s="96" t="s">
        <v>282</v>
      </c>
      <c r="G86" s="107"/>
    </row>
    <row r="87" ht="28.2" spans="1:7">
      <c r="A87" s="86" t="s">
        <v>283</v>
      </c>
      <c r="B87" s="87" t="s">
        <v>284</v>
      </c>
      <c r="C87" s="100" t="s">
        <v>33</v>
      </c>
      <c r="D87" s="89" t="s">
        <v>14</v>
      </c>
      <c r="E87" s="113" t="s">
        <v>222</v>
      </c>
      <c r="F87" s="110" t="s">
        <v>132</v>
      </c>
      <c r="G87" s="103"/>
    </row>
    <row r="88" ht="28" customHeight="1" spans="1:7">
      <c r="A88" s="93"/>
      <c r="B88" s="93"/>
      <c r="C88" s="93"/>
      <c r="D88" s="94" t="s">
        <v>285</v>
      </c>
      <c r="E88" s="95" t="s">
        <v>286</v>
      </c>
      <c r="F88" s="96" t="s">
        <v>287</v>
      </c>
      <c r="G88" s="95"/>
    </row>
    <row r="89" ht="28.2" spans="1:7">
      <c r="A89" s="86" t="s">
        <v>288</v>
      </c>
      <c r="B89" s="87" t="s">
        <v>289</v>
      </c>
      <c r="C89" s="100" t="s">
        <v>33</v>
      </c>
      <c r="D89" s="89" t="s">
        <v>14</v>
      </c>
      <c r="E89" s="105" t="s">
        <v>290</v>
      </c>
      <c r="F89" s="110" t="s">
        <v>132</v>
      </c>
      <c r="G89" s="103" t="s">
        <v>17</v>
      </c>
    </row>
    <row r="90" ht="28" customHeight="1" spans="1:7">
      <c r="A90" s="93"/>
      <c r="B90" s="93"/>
      <c r="C90" s="93"/>
      <c r="D90" s="94" t="s">
        <v>291</v>
      </c>
      <c r="E90" s="95" t="s">
        <v>292</v>
      </c>
      <c r="F90" s="96" t="s">
        <v>293</v>
      </c>
      <c r="G90" s="95" t="s">
        <v>294</v>
      </c>
    </row>
    <row r="91" ht="28.2" spans="1:7">
      <c r="A91" s="86" t="s">
        <v>295</v>
      </c>
      <c r="B91" s="87" t="s">
        <v>296</v>
      </c>
      <c r="C91" s="100" t="s">
        <v>33</v>
      </c>
      <c r="D91" s="101" t="s">
        <v>34</v>
      </c>
      <c r="E91" s="113" t="s">
        <v>297</v>
      </c>
      <c r="F91" s="110" t="s">
        <v>132</v>
      </c>
      <c r="G91" s="103" t="s">
        <v>17</v>
      </c>
    </row>
    <row r="92" ht="28" customHeight="1" spans="1:7">
      <c r="A92" s="93"/>
      <c r="B92" s="93"/>
      <c r="C92" s="93"/>
      <c r="D92" s="94" t="s">
        <v>298</v>
      </c>
      <c r="E92" s="95" t="s">
        <v>299</v>
      </c>
      <c r="F92" s="96" t="s">
        <v>300</v>
      </c>
      <c r="G92" s="95" t="s">
        <v>301</v>
      </c>
    </row>
    <row r="93" ht="28.2" spans="1:7">
      <c r="A93" s="86" t="s">
        <v>302</v>
      </c>
      <c r="B93" s="87" t="s">
        <v>303</v>
      </c>
      <c r="C93" s="100" t="s">
        <v>33</v>
      </c>
      <c r="D93" s="114" t="s">
        <v>110</v>
      </c>
      <c r="E93" s="116" t="s">
        <v>304</v>
      </c>
      <c r="F93" s="102" t="s">
        <v>215</v>
      </c>
      <c r="G93" s="103" t="s">
        <v>17</v>
      </c>
    </row>
    <row r="94" ht="60" customHeight="1" spans="1:7">
      <c r="A94" s="93"/>
      <c r="B94" s="93"/>
      <c r="C94" s="93"/>
      <c r="D94" s="94" t="s">
        <v>305</v>
      </c>
      <c r="E94" s="95" t="s">
        <v>306</v>
      </c>
      <c r="F94" s="96" t="s">
        <v>307</v>
      </c>
      <c r="G94" s="95" t="s">
        <v>308</v>
      </c>
    </row>
    <row r="95" ht="28.2" spans="1:7">
      <c r="A95" s="86" t="s">
        <v>309</v>
      </c>
      <c r="B95" s="87" t="s">
        <v>310</v>
      </c>
      <c r="C95" s="100" t="s">
        <v>33</v>
      </c>
      <c r="D95" s="89" t="s">
        <v>14</v>
      </c>
      <c r="E95" s="102" t="s">
        <v>311</v>
      </c>
      <c r="F95" s="110" t="s">
        <v>132</v>
      </c>
      <c r="G95" s="85"/>
    </row>
    <row r="96" ht="28" customHeight="1" spans="1:7">
      <c r="A96" s="93"/>
      <c r="B96" s="93"/>
      <c r="C96" s="93"/>
      <c r="D96" s="95" t="s">
        <v>312</v>
      </c>
      <c r="E96" s="95" t="s">
        <v>313</v>
      </c>
      <c r="F96" s="96" t="s">
        <v>314</v>
      </c>
      <c r="G96" s="107"/>
    </row>
    <row r="97" ht="28.2" spans="1:7">
      <c r="A97" s="86" t="s">
        <v>315</v>
      </c>
      <c r="B97" s="87" t="s">
        <v>316</v>
      </c>
      <c r="C97" s="111" t="s">
        <v>80</v>
      </c>
      <c r="D97" s="101" t="s">
        <v>34</v>
      </c>
      <c r="E97" s="102" t="s">
        <v>317</v>
      </c>
      <c r="F97" s="91" t="s">
        <v>82</v>
      </c>
      <c r="G97" s="103" t="s">
        <v>17</v>
      </c>
    </row>
    <row r="98" ht="28" customHeight="1" spans="1:7">
      <c r="A98" s="93"/>
      <c r="B98" s="93"/>
      <c r="C98" s="93"/>
      <c r="D98" s="94" t="s">
        <v>318</v>
      </c>
      <c r="E98" s="95" t="s">
        <v>319</v>
      </c>
      <c r="F98" s="96" t="s">
        <v>320</v>
      </c>
      <c r="G98" s="95" t="s">
        <v>321</v>
      </c>
    </row>
    <row r="99" ht="28.2" spans="1:7">
      <c r="A99" s="86" t="s">
        <v>322</v>
      </c>
      <c r="B99" s="87" t="s">
        <v>323</v>
      </c>
      <c r="C99" s="104" t="s">
        <v>43</v>
      </c>
      <c r="D99" s="101" t="s">
        <v>34</v>
      </c>
      <c r="E99" s="116" t="s">
        <v>235</v>
      </c>
      <c r="F99" s="115" t="s">
        <v>267</v>
      </c>
      <c r="G99" s="103" t="s">
        <v>17</v>
      </c>
    </row>
    <row r="100" ht="84" customHeight="1" spans="1:7">
      <c r="A100" s="93"/>
      <c r="B100" s="93"/>
      <c r="C100" s="93"/>
      <c r="D100" s="94" t="s">
        <v>324</v>
      </c>
      <c r="E100" s="95" t="s">
        <v>325</v>
      </c>
      <c r="F100" s="95" t="s">
        <v>326</v>
      </c>
      <c r="G100" s="95" t="s">
        <v>21</v>
      </c>
    </row>
    <row r="101" ht="37" customHeight="1" spans="1:7">
      <c r="A101" s="86" t="s">
        <v>327</v>
      </c>
      <c r="B101" s="87" t="s">
        <v>328</v>
      </c>
      <c r="C101" s="88" t="s">
        <v>13</v>
      </c>
      <c r="D101" s="114" t="s">
        <v>110</v>
      </c>
      <c r="E101" s="109" t="s">
        <v>57</v>
      </c>
      <c r="F101" s="122" t="s">
        <v>57</v>
      </c>
      <c r="G101" s="85"/>
    </row>
    <row r="102" ht="28" customHeight="1" spans="1:7">
      <c r="A102" s="93"/>
      <c r="B102" s="93"/>
      <c r="C102" s="93"/>
      <c r="D102" s="94" t="s">
        <v>329</v>
      </c>
      <c r="E102" s="93"/>
      <c r="F102" s="93"/>
      <c r="G102" s="107"/>
    </row>
    <row r="103" ht="37" customHeight="1" spans="1:7">
      <c r="A103" s="86" t="s">
        <v>330</v>
      </c>
      <c r="B103" s="87" t="s">
        <v>331</v>
      </c>
      <c r="C103" s="104" t="s">
        <v>43</v>
      </c>
      <c r="D103" s="89" t="s">
        <v>14</v>
      </c>
      <c r="E103" s="109" t="s">
        <v>57</v>
      </c>
      <c r="F103" s="109" t="s">
        <v>57</v>
      </c>
      <c r="G103" s="85"/>
    </row>
    <row r="104" ht="28" customHeight="1" spans="1:7">
      <c r="A104" s="93"/>
      <c r="B104" s="93"/>
      <c r="C104" s="93"/>
      <c r="D104" s="94" t="s">
        <v>332</v>
      </c>
      <c r="E104" s="93"/>
      <c r="F104" s="93"/>
      <c r="G104" s="107"/>
    </row>
    <row r="105" ht="37" customHeight="1" spans="1:7">
      <c r="A105" s="86" t="s">
        <v>333</v>
      </c>
      <c r="B105" s="87" t="s">
        <v>334</v>
      </c>
      <c r="C105" s="100" t="s">
        <v>33</v>
      </c>
      <c r="D105" s="101" t="s">
        <v>34</v>
      </c>
      <c r="E105" s="109" t="s">
        <v>57</v>
      </c>
      <c r="F105" s="126" t="s">
        <v>57</v>
      </c>
      <c r="G105" s="85"/>
    </row>
    <row r="106" ht="28" customHeight="1" spans="1:7">
      <c r="A106" s="93"/>
      <c r="B106" s="93"/>
      <c r="C106" s="93"/>
      <c r="D106" s="95" t="s">
        <v>335</v>
      </c>
      <c r="E106" s="93"/>
      <c r="F106" s="93"/>
      <c r="G106" s="107"/>
    </row>
    <row r="107" ht="37" customHeight="1" spans="1:7">
      <c r="A107" s="86" t="s">
        <v>336</v>
      </c>
      <c r="B107" s="87" t="s">
        <v>337</v>
      </c>
      <c r="C107" s="104" t="s">
        <v>43</v>
      </c>
      <c r="D107" s="89" t="s">
        <v>14</v>
      </c>
      <c r="E107" s="109" t="s">
        <v>57</v>
      </c>
      <c r="F107" s="122" t="s">
        <v>57</v>
      </c>
      <c r="G107" s="85"/>
    </row>
    <row r="108" ht="28" customHeight="1" spans="1:7">
      <c r="A108" s="93"/>
      <c r="B108" s="93"/>
      <c r="C108" s="93"/>
      <c r="D108" s="94" t="s">
        <v>338</v>
      </c>
      <c r="E108" s="93"/>
      <c r="F108" s="93"/>
      <c r="G108" s="107"/>
    </row>
    <row r="109" ht="37" customHeight="1" spans="1:7">
      <c r="A109" s="86" t="s">
        <v>339</v>
      </c>
      <c r="B109" s="87" t="s">
        <v>340</v>
      </c>
      <c r="C109" s="97" t="s">
        <v>24</v>
      </c>
      <c r="D109" s="114" t="s">
        <v>110</v>
      </c>
      <c r="E109" s="109" t="s">
        <v>57</v>
      </c>
      <c r="F109" s="109" t="s">
        <v>57</v>
      </c>
      <c r="G109" s="85"/>
    </row>
    <row r="110" ht="28" customHeight="1" spans="1:7">
      <c r="A110" s="93"/>
      <c r="B110" s="93"/>
      <c r="C110" s="93"/>
      <c r="D110" s="95" t="s">
        <v>341</v>
      </c>
      <c r="E110" s="93"/>
      <c r="F110" s="93"/>
      <c r="G110" s="107"/>
    </row>
    <row r="111" ht="37" customHeight="1" spans="1:7">
      <c r="A111" s="86" t="s">
        <v>342</v>
      </c>
      <c r="B111" s="87" t="s">
        <v>343</v>
      </c>
      <c r="C111" s="104" t="s">
        <v>43</v>
      </c>
      <c r="D111" s="114" t="s">
        <v>110</v>
      </c>
      <c r="E111" s="109" t="s">
        <v>57</v>
      </c>
      <c r="F111" s="109" t="s">
        <v>57</v>
      </c>
      <c r="G111" s="85"/>
    </row>
    <row r="112" ht="28" customHeight="1" spans="1:7">
      <c r="A112" s="93"/>
      <c r="B112" s="93"/>
      <c r="C112" s="93"/>
      <c r="D112" s="94" t="s">
        <v>344</v>
      </c>
      <c r="E112" s="93"/>
      <c r="F112" s="93"/>
      <c r="G112" s="107"/>
    </row>
    <row r="113" ht="28.2" spans="1:7">
      <c r="A113" s="86" t="s">
        <v>345</v>
      </c>
      <c r="B113" s="87" t="s">
        <v>346</v>
      </c>
      <c r="C113" s="97" t="s">
        <v>24</v>
      </c>
      <c r="D113" s="89" t="s">
        <v>14</v>
      </c>
      <c r="E113" s="90" t="s">
        <v>347</v>
      </c>
      <c r="F113" s="124" t="s">
        <v>27</v>
      </c>
      <c r="G113" s="85"/>
    </row>
    <row r="114" ht="28" customHeight="1" spans="1:7">
      <c r="A114" s="93"/>
      <c r="B114" s="93"/>
      <c r="C114" s="93"/>
      <c r="D114" s="94" t="s">
        <v>348</v>
      </c>
      <c r="E114" s="95" t="s">
        <v>349</v>
      </c>
      <c r="F114" s="95" t="s">
        <v>350</v>
      </c>
      <c r="G114" s="127"/>
    </row>
    <row r="115" ht="28.2" spans="1:7">
      <c r="A115" s="86" t="s">
        <v>351</v>
      </c>
      <c r="B115" s="87" t="s">
        <v>352</v>
      </c>
      <c r="C115" s="88" t="s">
        <v>13</v>
      </c>
      <c r="D115" s="101" t="s">
        <v>34</v>
      </c>
      <c r="E115" s="113" t="s">
        <v>353</v>
      </c>
      <c r="F115" s="115" t="s">
        <v>139</v>
      </c>
      <c r="G115" s="103" t="s">
        <v>17</v>
      </c>
    </row>
    <row r="116" ht="28" customHeight="1" spans="1:7">
      <c r="A116" s="93"/>
      <c r="B116" s="93"/>
      <c r="C116" s="93"/>
      <c r="D116" s="95" t="s">
        <v>354</v>
      </c>
      <c r="E116" s="95" t="s">
        <v>355</v>
      </c>
      <c r="F116" s="95" t="s">
        <v>356</v>
      </c>
      <c r="G116" s="95" t="s">
        <v>357</v>
      </c>
    </row>
    <row r="117" ht="37" customHeight="1" spans="1:7">
      <c r="A117" s="86" t="s">
        <v>358</v>
      </c>
      <c r="B117" s="87" t="s">
        <v>359</v>
      </c>
      <c r="C117" s="97" t="s">
        <v>24</v>
      </c>
      <c r="D117" s="89" t="s">
        <v>14</v>
      </c>
      <c r="E117" s="109" t="s">
        <v>57</v>
      </c>
      <c r="F117" s="109" t="s">
        <v>57</v>
      </c>
      <c r="G117" s="85"/>
    </row>
    <row r="118" ht="28" customHeight="1" spans="1:7">
      <c r="A118" s="93"/>
      <c r="B118" s="93"/>
      <c r="C118" s="93"/>
      <c r="D118" s="95" t="s">
        <v>360</v>
      </c>
      <c r="E118" s="93"/>
      <c r="F118" s="93"/>
      <c r="G118" s="107"/>
    </row>
    <row r="119" ht="37" customHeight="1" spans="1:7">
      <c r="A119" s="117" t="s">
        <v>361</v>
      </c>
      <c r="B119" s="118" t="s">
        <v>362</v>
      </c>
      <c r="C119" s="128" t="s">
        <v>33</v>
      </c>
      <c r="D119" s="101" t="s">
        <v>34</v>
      </c>
      <c r="E119" s="109" t="s">
        <v>57</v>
      </c>
      <c r="F119" s="109" t="s">
        <v>57</v>
      </c>
      <c r="G119" s="85"/>
    </row>
    <row r="120" ht="28" customHeight="1" spans="4:7">
      <c r="D120" s="129" t="s">
        <v>363</v>
      </c>
      <c r="E120" s="93"/>
      <c r="F120" s="93"/>
      <c r="G120" s="107"/>
    </row>
    <row r="121" ht="28.2" spans="1:7">
      <c r="A121" s="130" t="s">
        <v>364</v>
      </c>
      <c r="B121" s="131" t="s">
        <v>365</v>
      </c>
      <c r="C121" s="132" t="s">
        <v>43</v>
      </c>
      <c r="D121" s="133" t="s">
        <v>14</v>
      </c>
      <c r="E121" s="134" t="s">
        <v>125</v>
      </c>
      <c r="F121" s="124" t="s">
        <v>51</v>
      </c>
      <c r="G121" s="103" t="s">
        <v>17</v>
      </c>
    </row>
    <row r="122" ht="28" customHeight="1" spans="1:7">
      <c r="A122" s="135"/>
      <c r="B122" s="135"/>
      <c r="C122" s="135"/>
      <c r="D122" s="94" t="s">
        <v>366</v>
      </c>
      <c r="E122" s="95" t="s">
        <v>367</v>
      </c>
      <c r="F122" s="95" t="s">
        <v>368</v>
      </c>
      <c r="G122" s="95" t="s">
        <v>21</v>
      </c>
    </row>
    <row r="123" ht="37" customHeight="1" spans="1:7">
      <c r="A123" s="86" t="s">
        <v>369</v>
      </c>
      <c r="B123" s="87" t="s">
        <v>370</v>
      </c>
      <c r="C123" s="100" t="s">
        <v>33</v>
      </c>
      <c r="D123" s="89" t="s">
        <v>14</v>
      </c>
      <c r="E123" s="113" t="s">
        <v>222</v>
      </c>
      <c r="F123" s="122" t="s">
        <v>57</v>
      </c>
      <c r="G123" s="103" t="s">
        <v>17</v>
      </c>
    </row>
    <row r="124" ht="28" customHeight="1" spans="1:7">
      <c r="A124" s="93"/>
      <c r="B124" s="93"/>
      <c r="C124" s="93"/>
      <c r="D124" s="136" t="s">
        <v>371</v>
      </c>
      <c r="E124" s="95" t="s">
        <v>372</v>
      </c>
      <c r="F124" s="93"/>
      <c r="G124" s="95" t="s">
        <v>21</v>
      </c>
    </row>
    <row r="125" ht="37" customHeight="1" spans="1:7">
      <c r="A125" s="117" t="s">
        <v>373</v>
      </c>
      <c r="B125" s="118" t="s">
        <v>374</v>
      </c>
      <c r="C125" s="137" t="s">
        <v>80</v>
      </c>
      <c r="D125" s="89" t="s">
        <v>14</v>
      </c>
      <c r="E125" s="102" t="s">
        <v>375</v>
      </c>
      <c r="F125" s="122" t="s">
        <v>57</v>
      </c>
      <c r="G125" s="103" t="s">
        <v>17</v>
      </c>
    </row>
    <row r="126" ht="28" customHeight="1" spans="4:7">
      <c r="D126" s="129" t="s">
        <v>376</v>
      </c>
      <c r="E126" s="11" t="s">
        <v>377</v>
      </c>
      <c r="F126" s="93"/>
      <c r="G126" s="95" t="s">
        <v>21</v>
      </c>
    </row>
    <row r="127" ht="37" customHeight="1" spans="1:7">
      <c r="A127" s="130" t="s">
        <v>378</v>
      </c>
      <c r="B127" s="131" t="s">
        <v>379</v>
      </c>
      <c r="C127" s="138" t="s">
        <v>13</v>
      </c>
      <c r="D127" s="139" t="s">
        <v>110</v>
      </c>
      <c r="E127" s="109" t="s">
        <v>57</v>
      </c>
      <c r="F127" s="122" t="s">
        <v>57</v>
      </c>
      <c r="G127" s="103"/>
    </row>
    <row r="128" ht="28" customHeight="1" spans="1:7">
      <c r="A128" s="135"/>
      <c r="B128" s="135"/>
      <c r="C128" s="135"/>
      <c r="D128" s="94" t="s">
        <v>380</v>
      </c>
      <c r="E128" s="93"/>
      <c r="F128" s="93"/>
      <c r="G128" s="95"/>
    </row>
    <row r="129" ht="37" customHeight="1" spans="1:7">
      <c r="A129" s="86" t="s">
        <v>381</v>
      </c>
      <c r="B129" s="87" t="s">
        <v>382</v>
      </c>
      <c r="C129" s="104" t="s">
        <v>43</v>
      </c>
      <c r="D129" s="139" t="s">
        <v>110</v>
      </c>
      <c r="E129" s="109" t="s">
        <v>57</v>
      </c>
      <c r="F129" s="122" t="s">
        <v>57</v>
      </c>
      <c r="G129" s="85"/>
    </row>
    <row r="130" ht="28" customHeight="1" spans="1:7">
      <c r="A130" s="93"/>
      <c r="B130" s="93"/>
      <c r="C130" s="93"/>
      <c r="D130" s="95" t="s">
        <v>383</v>
      </c>
      <c r="E130" s="93"/>
      <c r="F130" s="93"/>
      <c r="G130" s="107"/>
    </row>
    <row r="131" ht="28.2" spans="1:7">
      <c r="A131" s="86" t="s">
        <v>384</v>
      </c>
      <c r="B131" s="87" t="s">
        <v>385</v>
      </c>
      <c r="C131" s="88" t="s">
        <v>13</v>
      </c>
      <c r="D131" s="89" t="s">
        <v>14</v>
      </c>
      <c r="E131" s="116" t="s">
        <v>61</v>
      </c>
      <c r="F131" s="115" t="s">
        <v>139</v>
      </c>
      <c r="G131" s="85"/>
    </row>
    <row r="132" ht="28" customHeight="1" spans="1:7">
      <c r="A132" s="93"/>
      <c r="B132" s="93"/>
      <c r="C132" s="93"/>
      <c r="D132" s="94" t="s">
        <v>386</v>
      </c>
      <c r="E132" s="95" t="s">
        <v>387</v>
      </c>
      <c r="F132" s="95" t="s">
        <v>388</v>
      </c>
      <c r="G132" s="107"/>
    </row>
    <row r="133" ht="28.2" spans="1:7">
      <c r="A133" s="86" t="s">
        <v>389</v>
      </c>
      <c r="B133" s="87" t="s">
        <v>390</v>
      </c>
      <c r="C133" s="111" t="s">
        <v>80</v>
      </c>
      <c r="D133" s="89" t="s">
        <v>14</v>
      </c>
      <c r="E133" s="102" t="s">
        <v>391</v>
      </c>
      <c r="F133" s="91" t="s">
        <v>82</v>
      </c>
      <c r="G133" s="103" t="s">
        <v>17</v>
      </c>
    </row>
    <row r="134" ht="63" customHeight="1" spans="1:7">
      <c r="A134" s="93"/>
      <c r="B134" s="93"/>
      <c r="C134" s="93"/>
      <c r="D134" s="94" t="s">
        <v>392</v>
      </c>
      <c r="E134" s="95" t="s">
        <v>393</v>
      </c>
      <c r="F134" s="95" t="s">
        <v>394</v>
      </c>
      <c r="G134" s="95" t="s">
        <v>40</v>
      </c>
    </row>
    <row r="135" ht="37" customHeight="1" spans="1:7">
      <c r="A135" s="86" t="s">
        <v>395</v>
      </c>
      <c r="B135" s="87" t="s">
        <v>396</v>
      </c>
      <c r="C135" s="97" t="s">
        <v>24</v>
      </c>
      <c r="D135" s="114" t="s">
        <v>110</v>
      </c>
      <c r="E135" s="109" t="s">
        <v>57</v>
      </c>
      <c r="F135" s="122" t="s">
        <v>57</v>
      </c>
      <c r="G135" s="22"/>
    </row>
    <row r="136" ht="28" customHeight="1" spans="1:7">
      <c r="A136" s="93"/>
      <c r="B136" s="140"/>
      <c r="C136" s="93"/>
      <c r="D136" s="94" t="s">
        <v>397</v>
      </c>
      <c r="E136" s="93"/>
      <c r="F136" s="93"/>
      <c r="G136" s="107"/>
    </row>
    <row r="137" ht="37" customHeight="1" spans="1:7">
      <c r="A137" s="117" t="s">
        <v>398</v>
      </c>
      <c r="B137" s="118" t="s">
        <v>399</v>
      </c>
      <c r="C137" s="141" t="s">
        <v>13</v>
      </c>
      <c r="D137" s="101" t="s">
        <v>34</v>
      </c>
      <c r="E137" s="109" t="s">
        <v>57</v>
      </c>
      <c r="F137" s="109" t="s">
        <v>57</v>
      </c>
      <c r="G137" s="85"/>
    </row>
    <row r="138" ht="28" customHeight="1" spans="4:7">
      <c r="D138" s="129" t="s">
        <v>400</v>
      </c>
      <c r="E138" s="93"/>
      <c r="F138" s="93"/>
      <c r="G138" s="107"/>
    </row>
    <row r="139" ht="37" customHeight="1" spans="1:7">
      <c r="A139" s="130" t="s">
        <v>401</v>
      </c>
      <c r="B139" s="131" t="s">
        <v>402</v>
      </c>
      <c r="C139" s="138" t="s">
        <v>13</v>
      </c>
      <c r="D139" s="139" t="s">
        <v>110</v>
      </c>
      <c r="E139" s="109" t="s">
        <v>57</v>
      </c>
      <c r="F139" s="122" t="s">
        <v>57</v>
      </c>
      <c r="G139" s="85"/>
    </row>
    <row r="140" ht="28" customHeight="1" spans="1:7">
      <c r="A140" s="135"/>
      <c r="B140" s="135"/>
      <c r="C140" s="135"/>
      <c r="D140" s="94" t="s">
        <v>329</v>
      </c>
      <c r="E140" s="93"/>
      <c r="F140" s="93"/>
      <c r="G140" s="107"/>
    </row>
    <row r="141" ht="37" customHeight="1" spans="1:7">
      <c r="A141" s="86" t="s">
        <v>403</v>
      </c>
      <c r="B141" s="87" t="s">
        <v>404</v>
      </c>
      <c r="C141" s="97" t="s">
        <v>24</v>
      </c>
      <c r="D141" s="89" t="s">
        <v>14</v>
      </c>
      <c r="E141" s="109" t="s">
        <v>57</v>
      </c>
      <c r="F141" s="122" t="s">
        <v>57</v>
      </c>
      <c r="G141" s="85"/>
    </row>
    <row r="142" ht="28" customHeight="1" spans="1:7">
      <c r="A142" s="93"/>
      <c r="B142" s="93"/>
      <c r="C142" s="93"/>
      <c r="D142" s="94" t="s">
        <v>405</v>
      </c>
      <c r="E142" s="93"/>
      <c r="F142" s="93"/>
      <c r="G142" s="107"/>
    </row>
    <row r="143" ht="28.2" spans="1:7">
      <c r="A143" s="86" t="s">
        <v>406</v>
      </c>
      <c r="B143" s="87" t="s">
        <v>407</v>
      </c>
      <c r="C143" s="104" t="s">
        <v>43</v>
      </c>
      <c r="D143" s="89" t="s">
        <v>14</v>
      </c>
      <c r="E143" s="123" t="s">
        <v>408</v>
      </c>
      <c r="F143" s="110" t="s">
        <v>45</v>
      </c>
      <c r="G143" s="103" t="s">
        <v>17</v>
      </c>
    </row>
    <row r="144" ht="28" customHeight="1" spans="1:7">
      <c r="A144" s="93"/>
      <c r="B144" s="93"/>
      <c r="C144" s="93"/>
      <c r="D144" s="94" t="s">
        <v>409</v>
      </c>
      <c r="E144" s="95" t="s">
        <v>410</v>
      </c>
      <c r="F144" s="95" t="s">
        <v>411</v>
      </c>
      <c r="G144" s="95" t="s">
        <v>21</v>
      </c>
    </row>
    <row r="145" ht="28.2" spans="1:7">
      <c r="A145" s="117" t="s">
        <v>412</v>
      </c>
      <c r="B145" s="142" t="s">
        <v>413</v>
      </c>
      <c r="C145" s="141" t="s">
        <v>13</v>
      </c>
      <c r="D145" s="143" t="s">
        <v>34</v>
      </c>
      <c r="E145" s="116" t="s">
        <v>414</v>
      </c>
      <c r="F145" s="113" t="s">
        <v>146</v>
      </c>
      <c r="G145" s="103" t="s">
        <v>17</v>
      </c>
    </row>
    <row r="146" ht="28" customHeight="1" spans="4:7">
      <c r="D146" s="144" t="s">
        <v>415</v>
      </c>
      <c r="E146" s="11" t="s">
        <v>416</v>
      </c>
      <c r="F146" s="95" t="s">
        <v>417</v>
      </c>
      <c r="G146" s="95" t="s">
        <v>21</v>
      </c>
    </row>
    <row r="147" ht="28.2" spans="1:7">
      <c r="A147" s="130" t="s">
        <v>418</v>
      </c>
      <c r="B147" s="131" t="s">
        <v>419</v>
      </c>
      <c r="C147" s="138" t="s">
        <v>13</v>
      </c>
      <c r="D147" s="143" t="s">
        <v>34</v>
      </c>
      <c r="E147" s="145" t="s">
        <v>353</v>
      </c>
      <c r="F147" s="113" t="s">
        <v>146</v>
      </c>
      <c r="G147" s="85"/>
    </row>
    <row r="148" ht="28" customHeight="1" spans="1:7">
      <c r="A148" s="135"/>
      <c r="B148" s="135"/>
      <c r="C148" s="135"/>
      <c r="D148" s="94" t="s">
        <v>420</v>
      </c>
      <c r="E148" s="95" t="s">
        <v>421</v>
      </c>
      <c r="F148" s="95" t="s">
        <v>422</v>
      </c>
      <c r="G148" s="107"/>
    </row>
    <row r="149" ht="28.2" spans="1:7">
      <c r="A149" s="86" t="s">
        <v>423</v>
      </c>
      <c r="B149" s="87" t="s">
        <v>424</v>
      </c>
      <c r="C149" s="100" t="s">
        <v>33</v>
      </c>
      <c r="D149" s="101" t="s">
        <v>34</v>
      </c>
      <c r="E149" s="146" t="s">
        <v>425</v>
      </c>
      <c r="F149" s="110" t="s">
        <v>132</v>
      </c>
      <c r="G149" s="103" t="s">
        <v>17</v>
      </c>
    </row>
    <row r="150" ht="28" customHeight="1" spans="1:7">
      <c r="A150" s="93"/>
      <c r="B150" s="93"/>
      <c r="C150" s="93"/>
      <c r="D150" s="95" t="s">
        <v>426</v>
      </c>
      <c r="E150" s="95" t="s">
        <v>427</v>
      </c>
      <c r="F150" s="95" t="s">
        <v>428</v>
      </c>
      <c r="G150" s="95" t="s">
        <v>40</v>
      </c>
    </row>
    <row r="151" ht="28.2" spans="1:7">
      <c r="A151" s="86" t="s">
        <v>429</v>
      </c>
      <c r="B151" s="87" t="s">
        <v>430</v>
      </c>
      <c r="C151" s="100" t="s">
        <v>33</v>
      </c>
      <c r="D151" s="89" t="s">
        <v>14</v>
      </c>
      <c r="E151" s="113" t="s">
        <v>431</v>
      </c>
      <c r="F151" s="110" t="s">
        <v>132</v>
      </c>
      <c r="G151" s="103" t="s">
        <v>17</v>
      </c>
    </row>
    <row r="152" ht="28" customHeight="1" spans="1:7">
      <c r="A152" s="93"/>
      <c r="B152" s="93"/>
      <c r="C152" s="93"/>
      <c r="D152" s="94" t="s">
        <v>432</v>
      </c>
      <c r="E152" s="96" t="s">
        <v>433</v>
      </c>
      <c r="F152" s="95" t="s">
        <v>434</v>
      </c>
      <c r="G152" s="95" t="s">
        <v>435</v>
      </c>
    </row>
    <row r="153" ht="37" customHeight="1" spans="1:7">
      <c r="A153" s="86" t="s">
        <v>436</v>
      </c>
      <c r="B153" s="87" t="s">
        <v>437</v>
      </c>
      <c r="C153" s="100" t="s">
        <v>33</v>
      </c>
      <c r="D153" s="89" t="s">
        <v>14</v>
      </c>
      <c r="E153" s="122" t="s">
        <v>57</v>
      </c>
      <c r="F153" s="122" t="s">
        <v>57</v>
      </c>
      <c r="G153" s="85"/>
    </row>
    <row r="154" ht="28" customHeight="1" spans="1:7">
      <c r="A154" s="93"/>
      <c r="B154" s="93"/>
      <c r="C154" s="93"/>
      <c r="D154" s="94" t="s">
        <v>438</v>
      </c>
      <c r="E154" s="93"/>
      <c r="F154" s="93"/>
      <c r="G154" s="107"/>
    </row>
    <row r="155" ht="37" customHeight="1" spans="1:7">
      <c r="A155" s="117" t="s">
        <v>439</v>
      </c>
      <c r="B155" s="118" t="s">
        <v>440</v>
      </c>
      <c r="C155" s="128" t="s">
        <v>33</v>
      </c>
      <c r="D155" s="114" t="s">
        <v>110</v>
      </c>
      <c r="E155" s="109" t="s">
        <v>57</v>
      </c>
      <c r="F155" s="109" t="s">
        <v>57</v>
      </c>
      <c r="G155" s="85"/>
    </row>
    <row r="156" ht="28" customHeight="1" spans="4:7">
      <c r="D156" s="129" t="s">
        <v>441</v>
      </c>
      <c r="E156" s="93"/>
      <c r="F156" s="93"/>
      <c r="G156" s="107"/>
    </row>
    <row r="157" ht="28.2" spans="1:7">
      <c r="A157" s="130" t="s">
        <v>442</v>
      </c>
      <c r="B157" s="131" t="s">
        <v>443</v>
      </c>
      <c r="C157" s="147" t="s">
        <v>33</v>
      </c>
      <c r="D157" s="133" t="s">
        <v>14</v>
      </c>
      <c r="E157" s="148" t="s">
        <v>444</v>
      </c>
      <c r="F157" s="149" t="s">
        <v>36</v>
      </c>
      <c r="G157" s="85"/>
    </row>
    <row r="158" ht="28" customHeight="1" spans="1:7">
      <c r="A158" s="135"/>
      <c r="B158" s="135"/>
      <c r="C158" s="135"/>
      <c r="D158" s="94" t="s">
        <v>291</v>
      </c>
      <c r="E158" s="96" t="s">
        <v>445</v>
      </c>
      <c r="F158" s="95" t="s">
        <v>446</v>
      </c>
      <c r="G158" s="107"/>
    </row>
    <row r="159" ht="28.2" spans="1:7">
      <c r="A159" s="86" t="s">
        <v>447</v>
      </c>
      <c r="B159" s="87" t="s">
        <v>448</v>
      </c>
      <c r="C159" s="97" t="s">
        <v>24</v>
      </c>
      <c r="D159" s="101" t="s">
        <v>34</v>
      </c>
      <c r="E159" s="123" t="s">
        <v>449</v>
      </c>
      <c r="F159" s="91" t="s">
        <v>82</v>
      </c>
      <c r="G159" s="103" t="s">
        <v>17</v>
      </c>
    </row>
    <row r="160" ht="28" customHeight="1" spans="1:7">
      <c r="A160" s="93"/>
      <c r="B160" s="93"/>
      <c r="C160" s="93"/>
      <c r="D160" s="94" t="s">
        <v>450</v>
      </c>
      <c r="E160" s="96" t="s">
        <v>451</v>
      </c>
      <c r="F160" s="95" t="s">
        <v>452</v>
      </c>
      <c r="G160" s="95" t="s">
        <v>21</v>
      </c>
    </row>
    <row r="161" ht="28.2" spans="1:7">
      <c r="A161" s="86" t="s">
        <v>453</v>
      </c>
      <c r="B161" s="87" t="s">
        <v>454</v>
      </c>
      <c r="C161" s="88" t="s">
        <v>13</v>
      </c>
      <c r="D161" s="89" t="s">
        <v>14</v>
      </c>
      <c r="E161" s="105" t="s">
        <v>455</v>
      </c>
      <c r="F161" s="106" t="s">
        <v>62</v>
      </c>
      <c r="G161" s="103" t="s">
        <v>17</v>
      </c>
    </row>
    <row r="162" ht="28" customHeight="1" spans="1:7">
      <c r="A162" s="93"/>
      <c r="B162" s="93"/>
      <c r="C162" s="93"/>
      <c r="D162" s="94" t="s">
        <v>456</v>
      </c>
      <c r="E162" s="96" t="s">
        <v>457</v>
      </c>
      <c r="F162" s="95" t="s">
        <v>458</v>
      </c>
      <c r="G162" s="95" t="s">
        <v>21</v>
      </c>
    </row>
    <row r="163" ht="28.2" spans="1:7">
      <c r="A163" s="117" t="s">
        <v>459</v>
      </c>
      <c r="B163" s="118" t="s">
        <v>460</v>
      </c>
      <c r="C163" s="128" t="s">
        <v>33</v>
      </c>
      <c r="D163" s="101" t="s">
        <v>34</v>
      </c>
      <c r="E163" s="116" t="s">
        <v>461</v>
      </c>
      <c r="F163" s="116" t="s">
        <v>462</v>
      </c>
      <c r="G163" s="85"/>
    </row>
    <row r="164" ht="56" customHeight="1" spans="4:7">
      <c r="D164" s="129" t="s">
        <v>463</v>
      </c>
      <c r="E164" s="150" t="s">
        <v>464</v>
      </c>
      <c r="F164" s="95" t="s">
        <v>465</v>
      </c>
      <c r="G164" s="107"/>
    </row>
    <row r="165" ht="28.2" spans="1:7">
      <c r="A165" s="130" t="s">
        <v>466</v>
      </c>
      <c r="B165" s="131" t="s">
        <v>467</v>
      </c>
      <c r="C165" s="151" t="s">
        <v>80</v>
      </c>
      <c r="D165" s="152" t="s">
        <v>34</v>
      </c>
      <c r="E165" s="153" t="s">
        <v>468</v>
      </c>
      <c r="F165" s="149" t="s">
        <v>82</v>
      </c>
      <c r="G165" s="103" t="s">
        <v>17</v>
      </c>
    </row>
    <row r="166" ht="65" customHeight="1" spans="1:7">
      <c r="A166" s="135"/>
      <c r="B166" s="135"/>
      <c r="C166" s="135"/>
      <c r="D166" s="94" t="s">
        <v>469</v>
      </c>
      <c r="E166" s="95" t="s">
        <v>470</v>
      </c>
      <c r="F166" s="95" t="s">
        <v>471</v>
      </c>
      <c r="G166" s="95" t="s">
        <v>21</v>
      </c>
    </row>
    <row r="167" ht="28.2" spans="1:7">
      <c r="A167" s="86" t="s">
        <v>472</v>
      </c>
      <c r="B167" s="87" t="s">
        <v>473</v>
      </c>
      <c r="C167" s="100" t="s">
        <v>33</v>
      </c>
      <c r="D167" s="101" t="s">
        <v>34</v>
      </c>
      <c r="E167" s="123" t="s">
        <v>474</v>
      </c>
      <c r="F167" s="110" t="s">
        <v>132</v>
      </c>
      <c r="G167" s="103" t="s">
        <v>17</v>
      </c>
    </row>
    <row r="168" ht="28" customHeight="1" spans="1:7">
      <c r="A168" s="93"/>
      <c r="B168" s="93"/>
      <c r="C168" s="93"/>
      <c r="D168" s="94" t="s">
        <v>450</v>
      </c>
      <c r="E168" s="96" t="s">
        <v>475</v>
      </c>
      <c r="F168" s="95" t="s">
        <v>476</v>
      </c>
      <c r="G168" s="95" t="s">
        <v>21</v>
      </c>
    </row>
    <row r="169" ht="28.2" spans="1:7">
      <c r="A169" s="154" t="s">
        <v>477</v>
      </c>
      <c r="B169" s="87" t="s">
        <v>478</v>
      </c>
      <c r="C169" s="97" t="s">
        <v>24</v>
      </c>
      <c r="D169" s="89" t="s">
        <v>14</v>
      </c>
      <c r="E169" s="116" t="s">
        <v>61</v>
      </c>
      <c r="F169" s="124" t="s">
        <v>27</v>
      </c>
      <c r="G169" s="85"/>
    </row>
    <row r="170" ht="28" customHeight="1" spans="1:7">
      <c r="A170" s="93"/>
      <c r="B170" s="93"/>
      <c r="C170" s="93"/>
      <c r="D170" s="94" t="s">
        <v>479</v>
      </c>
      <c r="E170" s="96" t="s">
        <v>480</v>
      </c>
      <c r="F170" s="95" t="s">
        <v>481</v>
      </c>
      <c r="G170" s="107"/>
    </row>
    <row r="171" ht="17.4" spans="1:7">
      <c r="A171" s="155"/>
      <c r="B171" s="156"/>
      <c r="C171" s="157"/>
      <c r="D171" s="158"/>
      <c r="E171" s="159"/>
      <c r="F171" s="159"/>
      <c r="G171" s="160"/>
    </row>
    <row r="172" ht="17.4" spans="1:7">
      <c r="A172" s="64"/>
      <c r="B172" s="156"/>
      <c r="C172" s="157"/>
      <c r="D172" s="158"/>
      <c r="E172" s="159"/>
      <c r="F172" s="159"/>
      <c r="G172" s="160"/>
    </row>
    <row r="173" spans="1:7">
      <c r="A173" s="64"/>
      <c r="B173" s="64"/>
      <c r="C173" s="64"/>
      <c r="D173" s="64"/>
      <c r="E173" s="64"/>
      <c r="F173" s="64"/>
      <c r="G173" s="64"/>
    </row>
    <row r="174" spans="1:7">
      <c r="A174" s="64"/>
      <c r="B174" s="64"/>
      <c r="C174" s="64"/>
      <c r="D174" s="64"/>
      <c r="E174" s="64"/>
      <c r="F174" s="64"/>
      <c r="G174" s="64"/>
    </row>
    <row r="175" spans="1:7">
      <c r="A175" s="64"/>
      <c r="B175" s="64"/>
      <c r="C175" s="64"/>
      <c r="D175" s="64"/>
      <c r="E175" s="64"/>
      <c r="F175" s="64"/>
      <c r="G175" s="64"/>
    </row>
    <row r="176" spans="1:7">
      <c r="A176" s="64"/>
      <c r="B176" s="64"/>
      <c r="C176" s="64"/>
      <c r="D176" s="64"/>
      <c r="E176" s="64"/>
      <c r="F176" s="64"/>
      <c r="G176" s="64"/>
    </row>
    <row r="177" spans="1:7">
      <c r="A177" s="64"/>
      <c r="B177" s="64"/>
      <c r="C177" s="64"/>
      <c r="D177" s="64"/>
      <c r="E177" s="64"/>
      <c r="F177" s="64"/>
      <c r="G177" s="64"/>
    </row>
    <row r="178" spans="1:7">
      <c r="A178" s="64"/>
      <c r="B178" s="64"/>
      <c r="C178" s="64"/>
      <c r="D178" s="64"/>
      <c r="E178" s="64"/>
      <c r="F178" s="64"/>
      <c r="G178" s="64"/>
    </row>
    <row r="179" spans="1:7">
      <c r="A179" s="64"/>
      <c r="B179" s="64"/>
      <c r="C179" s="64"/>
      <c r="D179" s="64"/>
      <c r="E179" s="64"/>
      <c r="F179" s="64"/>
      <c r="G179" s="64"/>
    </row>
    <row r="180" spans="1:7">
      <c r="A180" s="64"/>
      <c r="B180" s="64"/>
      <c r="C180" s="64"/>
      <c r="D180" s="64"/>
      <c r="E180" s="64"/>
      <c r="F180" s="64"/>
      <c r="G180" s="64"/>
    </row>
    <row r="181" spans="1:7">
      <c r="A181" s="64"/>
      <c r="B181" s="64"/>
      <c r="C181" s="64"/>
      <c r="D181" s="64"/>
      <c r="E181" s="64"/>
      <c r="F181" s="64"/>
      <c r="G181" s="64"/>
    </row>
    <row r="182" ht="196" customHeight="1" spans="1:7">
      <c r="A182" s="64"/>
      <c r="B182" s="64"/>
      <c r="C182" s="64"/>
      <c r="D182" s="64"/>
      <c r="E182" s="64"/>
      <c r="F182" s="64"/>
      <c r="G182" s="64"/>
    </row>
    <row r="183" spans="1:7">
      <c r="A183" s="64"/>
      <c r="B183" s="64"/>
      <c r="C183" s="64"/>
      <c r="D183" s="64"/>
      <c r="E183" s="64"/>
      <c r="F183" s="64"/>
      <c r="G183" s="64"/>
    </row>
    <row r="184" spans="1:7">
      <c r="A184" s="64"/>
      <c r="B184" s="64"/>
      <c r="C184" s="64"/>
      <c r="D184" s="64"/>
      <c r="E184" s="64"/>
      <c r="F184" s="64"/>
      <c r="G184" s="64"/>
    </row>
    <row r="185" spans="1:7">
      <c r="A185" s="64"/>
      <c r="B185" s="64"/>
      <c r="C185" s="64"/>
      <c r="D185" s="64"/>
      <c r="E185" s="64"/>
      <c r="F185" s="64"/>
      <c r="G185" s="64"/>
    </row>
    <row r="186" spans="1:7">
      <c r="A186" s="64"/>
      <c r="B186" s="64"/>
      <c r="C186" s="64"/>
      <c r="D186" s="64"/>
      <c r="E186" s="64"/>
      <c r="F186" s="64"/>
      <c r="G186" s="64"/>
    </row>
    <row r="187" spans="1:7">
      <c r="A187" s="64"/>
      <c r="B187" s="64"/>
      <c r="C187" s="64"/>
      <c r="D187" s="64"/>
      <c r="E187" s="64"/>
      <c r="F187" s="64"/>
      <c r="G187" s="64"/>
    </row>
    <row r="188" spans="1:7">
      <c r="A188" s="64"/>
      <c r="B188" s="64"/>
      <c r="C188" s="64"/>
      <c r="D188" s="64"/>
      <c r="E188" s="64"/>
      <c r="F188" s="64"/>
      <c r="G188" s="64"/>
    </row>
    <row r="189" spans="1:7">
      <c r="A189" s="64"/>
      <c r="B189" s="64"/>
      <c r="C189" s="64"/>
      <c r="D189" s="64"/>
      <c r="E189" s="64"/>
      <c r="F189" s="64"/>
      <c r="G189" s="64"/>
    </row>
    <row r="190" spans="1:7">
      <c r="A190" s="64"/>
      <c r="B190" s="64"/>
      <c r="C190" s="64"/>
      <c r="D190" s="64"/>
      <c r="E190" s="64"/>
      <c r="F190" s="64"/>
      <c r="G190" s="64"/>
    </row>
    <row r="191" spans="1:7">
      <c r="A191" s="64"/>
      <c r="B191" s="64"/>
      <c r="C191" s="64"/>
      <c r="D191" s="64"/>
      <c r="E191" s="64"/>
      <c r="F191" s="64"/>
      <c r="G191" s="64"/>
    </row>
    <row r="192" spans="1:7">
      <c r="A192" s="64"/>
      <c r="B192" s="64"/>
      <c r="C192" s="64"/>
      <c r="D192" s="64"/>
      <c r="E192" s="64"/>
      <c r="F192" s="64"/>
      <c r="G192" s="64"/>
    </row>
    <row r="193" spans="1:7">
      <c r="A193" s="64"/>
      <c r="B193" s="64"/>
      <c r="C193" s="64"/>
      <c r="D193" s="64"/>
      <c r="E193" s="64"/>
      <c r="F193" s="64"/>
      <c r="G193" s="64"/>
    </row>
    <row r="194" spans="1:7">
      <c r="A194" s="64"/>
      <c r="B194" s="64"/>
      <c r="C194" s="64"/>
      <c r="D194" s="64"/>
      <c r="E194" s="64"/>
      <c r="F194" s="64"/>
      <c r="G194" s="64"/>
    </row>
    <row r="195" spans="1:7">
      <c r="A195" s="64"/>
      <c r="B195" s="64"/>
      <c r="C195" s="64"/>
      <c r="D195" s="64"/>
      <c r="E195" s="64"/>
      <c r="F195" s="64"/>
      <c r="G195" s="64"/>
    </row>
    <row r="196" spans="1:7">
      <c r="A196" s="64"/>
      <c r="B196" s="64"/>
      <c r="C196" s="64"/>
      <c r="D196" s="64"/>
      <c r="E196" s="64"/>
      <c r="F196" s="64"/>
      <c r="G196" s="64"/>
    </row>
    <row r="197" spans="1:7">
      <c r="A197" s="64"/>
      <c r="B197" s="64"/>
      <c r="C197" s="64"/>
      <c r="D197" s="64"/>
      <c r="E197" s="64"/>
      <c r="F197" s="64"/>
      <c r="G197" s="64"/>
    </row>
    <row r="198" spans="1:7">
      <c r="A198" s="64"/>
      <c r="B198" s="64"/>
      <c r="C198" s="64"/>
      <c r="D198" s="64"/>
      <c r="E198" s="64"/>
      <c r="F198" s="64"/>
      <c r="G198" s="64"/>
    </row>
    <row r="199" spans="1:7">
      <c r="A199" s="64"/>
      <c r="B199" s="64"/>
      <c r="C199" s="64"/>
      <c r="D199" s="64"/>
      <c r="E199" s="64"/>
      <c r="F199" s="64"/>
      <c r="G199" s="64"/>
    </row>
  </sheetData>
  <autoFilter ref="A2:H170">
    <extLst/>
  </autoFilter>
  <mergeCells count="304">
    <mergeCell ref="A1:A2"/>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A109:A110"/>
    <mergeCell ref="A111:A112"/>
    <mergeCell ref="A113:A114"/>
    <mergeCell ref="A115:A116"/>
    <mergeCell ref="A117:A118"/>
    <mergeCell ref="A119:A120"/>
    <mergeCell ref="A121:A122"/>
    <mergeCell ref="A123:A124"/>
    <mergeCell ref="A125:A126"/>
    <mergeCell ref="A127:A128"/>
    <mergeCell ref="A129:A130"/>
    <mergeCell ref="A131:A132"/>
    <mergeCell ref="A133:A134"/>
    <mergeCell ref="A135:A136"/>
    <mergeCell ref="A137:A138"/>
    <mergeCell ref="A139:A140"/>
    <mergeCell ref="A141:A142"/>
    <mergeCell ref="A143:A144"/>
    <mergeCell ref="A145:A146"/>
    <mergeCell ref="A147:A148"/>
    <mergeCell ref="A149:A150"/>
    <mergeCell ref="A151:A152"/>
    <mergeCell ref="A153:A154"/>
    <mergeCell ref="A155:A156"/>
    <mergeCell ref="A157:A158"/>
    <mergeCell ref="A159:A160"/>
    <mergeCell ref="A161:A162"/>
    <mergeCell ref="A163:A164"/>
    <mergeCell ref="A165:A166"/>
    <mergeCell ref="A167:A168"/>
    <mergeCell ref="A169:A170"/>
    <mergeCell ref="B1:B2"/>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59:B60"/>
    <mergeCell ref="B61:B62"/>
    <mergeCell ref="B63:B64"/>
    <mergeCell ref="B65:B66"/>
    <mergeCell ref="B67:B68"/>
    <mergeCell ref="B69:B70"/>
    <mergeCell ref="B71:B72"/>
    <mergeCell ref="B73:B74"/>
    <mergeCell ref="B75:B76"/>
    <mergeCell ref="B77:B78"/>
    <mergeCell ref="B79:B80"/>
    <mergeCell ref="B81:B82"/>
    <mergeCell ref="B83:B84"/>
    <mergeCell ref="B85:B86"/>
    <mergeCell ref="B87:B88"/>
    <mergeCell ref="B89:B90"/>
    <mergeCell ref="B91:B92"/>
    <mergeCell ref="B93:B94"/>
    <mergeCell ref="B95:B96"/>
    <mergeCell ref="B97:B98"/>
    <mergeCell ref="B99:B100"/>
    <mergeCell ref="B101:B102"/>
    <mergeCell ref="B103:B104"/>
    <mergeCell ref="B105:B106"/>
    <mergeCell ref="B107:B108"/>
    <mergeCell ref="B109:B110"/>
    <mergeCell ref="B111:B112"/>
    <mergeCell ref="B113:B114"/>
    <mergeCell ref="B115:B116"/>
    <mergeCell ref="B117:B118"/>
    <mergeCell ref="B119:B120"/>
    <mergeCell ref="B121:B122"/>
    <mergeCell ref="B123:B124"/>
    <mergeCell ref="B125:B126"/>
    <mergeCell ref="B127:B128"/>
    <mergeCell ref="B129:B130"/>
    <mergeCell ref="B131:B132"/>
    <mergeCell ref="B133:B134"/>
    <mergeCell ref="B135:B136"/>
    <mergeCell ref="B137:B138"/>
    <mergeCell ref="B139:B140"/>
    <mergeCell ref="B141:B142"/>
    <mergeCell ref="B143:B144"/>
    <mergeCell ref="B145:B146"/>
    <mergeCell ref="B147:B148"/>
    <mergeCell ref="B149:B150"/>
    <mergeCell ref="B151:B152"/>
    <mergeCell ref="B153:B154"/>
    <mergeCell ref="B155:B156"/>
    <mergeCell ref="B157:B158"/>
    <mergeCell ref="B159:B160"/>
    <mergeCell ref="B161:B162"/>
    <mergeCell ref="B163:B164"/>
    <mergeCell ref="B165:B166"/>
    <mergeCell ref="B167:B168"/>
    <mergeCell ref="B169:B170"/>
    <mergeCell ref="C1:C2"/>
    <mergeCell ref="C3:C4"/>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C51:C52"/>
    <mergeCell ref="C53:C54"/>
    <mergeCell ref="C55:C56"/>
    <mergeCell ref="C57:C58"/>
    <mergeCell ref="C59:C60"/>
    <mergeCell ref="C61:C62"/>
    <mergeCell ref="C63:C64"/>
    <mergeCell ref="C65:C66"/>
    <mergeCell ref="C67:C68"/>
    <mergeCell ref="C69:C70"/>
    <mergeCell ref="C71:C72"/>
    <mergeCell ref="C73:C74"/>
    <mergeCell ref="C75:C76"/>
    <mergeCell ref="C77:C78"/>
    <mergeCell ref="C79:C80"/>
    <mergeCell ref="C81:C82"/>
    <mergeCell ref="C83:C84"/>
    <mergeCell ref="C85:C86"/>
    <mergeCell ref="C87:C88"/>
    <mergeCell ref="C89:C90"/>
    <mergeCell ref="C91:C92"/>
    <mergeCell ref="C93:C94"/>
    <mergeCell ref="C95:C96"/>
    <mergeCell ref="C97:C98"/>
    <mergeCell ref="C99:C100"/>
    <mergeCell ref="C101:C102"/>
    <mergeCell ref="C103:C104"/>
    <mergeCell ref="C105:C106"/>
    <mergeCell ref="C107:C108"/>
    <mergeCell ref="C109:C110"/>
    <mergeCell ref="C111:C112"/>
    <mergeCell ref="C113:C114"/>
    <mergeCell ref="C115:C116"/>
    <mergeCell ref="C117:C118"/>
    <mergeCell ref="C119:C120"/>
    <mergeCell ref="C121:C122"/>
    <mergeCell ref="C123:C124"/>
    <mergeCell ref="C125:C126"/>
    <mergeCell ref="C127:C128"/>
    <mergeCell ref="C129:C130"/>
    <mergeCell ref="C131:C132"/>
    <mergeCell ref="C133:C134"/>
    <mergeCell ref="C135:C136"/>
    <mergeCell ref="C137:C138"/>
    <mergeCell ref="C139:C140"/>
    <mergeCell ref="C141:C142"/>
    <mergeCell ref="C143:C144"/>
    <mergeCell ref="C145:C146"/>
    <mergeCell ref="C147:C148"/>
    <mergeCell ref="C149:C150"/>
    <mergeCell ref="C151:C152"/>
    <mergeCell ref="C153:C154"/>
    <mergeCell ref="C155:C156"/>
    <mergeCell ref="C157:C158"/>
    <mergeCell ref="C159:C160"/>
    <mergeCell ref="C161:C162"/>
    <mergeCell ref="C163:C164"/>
    <mergeCell ref="C165:C166"/>
    <mergeCell ref="C167:C168"/>
    <mergeCell ref="C169:C170"/>
    <mergeCell ref="D43:D44"/>
    <mergeCell ref="D45:D46"/>
    <mergeCell ref="D75:D76"/>
    <mergeCell ref="E13:E14"/>
    <mergeCell ref="E23:E24"/>
    <mergeCell ref="E43:E44"/>
    <mergeCell ref="E45:E46"/>
    <mergeCell ref="E47:E48"/>
    <mergeCell ref="E101:E102"/>
    <mergeCell ref="E103:E104"/>
    <mergeCell ref="E105:E106"/>
    <mergeCell ref="E107:E108"/>
    <mergeCell ref="E109:E110"/>
    <mergeCell ref="E111:E112"/>
    <mergeCell ref="E117:E118"/>
    <mergeCell ref="E119:E120"/>
    <mergeCell ref="E127:E128"/>
    <mergeCell ref="E129:E130"/>
    <mergeCell ref="E135:E136"/>
    <mergeCell ref="E137:E138"/>
    <mergeCell ref="E139:E140"/>
    <mergeCell ref="E141:E142"/>
    <mergeCell ref="E153:E154"/>
    <mergeCell ref="E155:E156"/>
    <mergeCell ref="F13:F14"/>
    <mergeCell ref="F25:F26"/>
    <mergeCell ref="F43:F44"/>
    <mergeCell ref="F45:F46"/>
    <mergeCell ref="F47:F48"/>
    <mergeCell ref="F101:F102"/>
    <mergeCell ref="F103:F104"/>
    <mergeCell ref="F105:F106"/>
    <mergeCell ref="F107:F108"/>
    <mergeCell ref="F109:F110"/>
    <mergeCell ref="F111:F112"/>
    <mergeCell ref="F117:F118"/>
    <mergeCell ref="F119:F120"/>
    <mergeCell ref="F123:F124"/>
    <mergeCell ref="F125:F126"/>
    <mergeCell ref="F127:F128"/>
    <mergeCell ref="F129:F130"/>
    <mergeCell ref="F135:F136"/>
    <mergeCell ref="F137:F138"/>
    <mergeCell ref="F139:F140"/>
    <mergeCell ref="F141:F142"/>
    <mergeCell ref="F153:F154"/>
    <mergeCell ref="F155:F156"/>
    <mergeCell ref="G43:G44"/>
    <mergeCell ref="G45:G46"/>
  </mergeCells>
  <hyperlinks>
    <hyperlink ref="B3" r:id="rId3" display="焦化少女"/>
    <hyperlink ref="B5" r:id="rId4" display="一罪与百善"/>
    <hyperlink ref="B7" r:id="rId5" display="憎恶女王"/>
    <hyperlink ref="B9" r:id="rId6" display="快乐泰迪"/>
    <hyperlink ref="B11" r:id="rId7" display="红舞鞋"/>
    <hyperlink ref="B13" r:id="rId8" display="特蕾西娅"/>
    <hyperlink ref="B15" r:id="rId9" display="老妇人"/>
    <hyperlink ref="B17" r:id="rId10" display="无名怪婴"/>
    <hyperlink ref="B19" r:id="rId11" display="面壁女"/>
    <hyperlink ref="B21" r:id="rId12" display="“一无所有”"/>
    <hyperlink ref="B23" r:id="rId13" display="1.76兆赫"/>
    <hyperlink ref="B25" r:id="rId14" display="歌唱机"/>
    <hyperlink ref="B27" r:id="rId15" display="沉默乐团"/>
    <hyperlink ref="B29" r:id="rId16" display="热心的樵夫"/>
    <hyperlink ref="B31" r:id="rId17" display="冰雪女皇"/>
    <hyperlink ref="B33" r:id="rId18" display="大鸟"/>
    <hyperlink ref="B35" r:id="rId19" display="小帮手"/>
    <hyperlink ref="B37" r:id="rId20" display="白雪公主的苹果"/>
    <hyperlink ref="B39" r:id="rId21" display="蜘蛛巢"/>
    <hyperlink ref="B41" r:id="rId22" display="美女和野兽"/>
    <hyperlink ref="B43" r:id="rId23" display="疫医"/>
    <hyperlink ref="B45" r:id="rId24" display="白夜"/>
    <hyperlink ref="B47" r:id="rId25" display="别碰我"/>
    <hyperlink ref="B49" r:id="rId26" display="雪橇鲁道夫"/>
    <hyperlink ref="B51" r:id="rId27" display="蜂后"/>
    <hyperlink ref="B53" r:id="rId28" display="血浴缸"/>
    <hyperlink ref="B55" r:id="rId29" display="韦尔奇乐牌汽水"/>
    <hyperlink ref="B57" r:id="rId30" display="爱娜温"/>
    <hyperlink ref="B59" r:id="rId31" display="被遗弃的杀人魔"/>
    <hyperlink ref="B61" r:id="rId32" display="银河之子"/>
    <hyperlink ref="B63" r:id="rId33" display="惩戒鸟"/>
    <hyperlink ref="B65" r:id="rId34" display="小红帽雇佣兵"/>
    <hyperlink ref="B67" r:id="rId35" display="又大又可能很坏的狼"/>
    <hyperlink ref="B69" r:id="rId36" display="宇宙碎片"/>
    <hyperlink ref="B71" r:id="rId37" display="破裂盔甲"/>
    <hyperlink ref="B73" r:id="rId38" display="审判鸟"/>
    <hyperlink ref="B75" r:id="rId39" display="终末鸟"/>
    <hyperlink ref="B77" r:id="rId40" display="贪婪女王"/>
    <hyperlink ref="B79" r:id="rId41" display="小王子"/>
    <hyperlink ref="B81" r:id="rId42" display="蕾蒂希娅"/>
    <hyperlink ref="B83" r:id="rId43" display="亡蝶葬仪"/>
    <hyperlink ref="B85" r:id="rId44" display="魔弹射手"/>
    <hyperlink ref="B87" r:id="rId45" display="黑天鹅之梦"/>
    <hyperlink ref="B89" r:id="rId46" display="梦中的洋流"/>
    <hyperlink ref="B91" r:id="rId47" display="穿刺乐园"/>
    <hyperlink ref="B93" r:id="rId48" display="绝望骑士"/>
    <hyperlink ref="B95" r:id="rId49" display="裸巢"/>
    <hyperlink ref="B97" r:id="rId50" display="微笑的尸山"/>
    <hyperlink ref="B99" r:id="rId51" display="幸灾乐祸"/>
    <hyperlink ref="B101" r:id="rId52" display="渴望之心"/>
    <hyperlink ref="B103" r:id="rId53" display="癫狂研究员的笔记本"/>
    <hyperlink ref="B105" r:id="rId54" display="血肉偶像"/>
    <hyperlink ref="B107" r:id="rId55" display="巨树汁液"/>
    <hyperlink ref="B109" r:id="rId56" display="转性魔镜"/>
    <hyperlink ref="B111" r:id="rId57" display="3月27日的避难所"/>
    <hyperlink ref="B113" r:id="rId58" display="精灵盛宴"/>
    <hyperlink ref="B115" r:id="rId59" display="陆生"/>
    <hyperlink ref="B117" r:id="rId60" display="我们可以改变一切"/>
    <hyperlink ref="B119" r:id="rId61" display="黄泉列车"/>
    <hyperlink ref="B121" r:id="rId62" display="索求智慧的稻草人"/>
    <hyperlink ref="B123" r:id="rId63" display="次元衍射变体"/>
    <hyperlink ref="B125" r:id="rId64" display="“CENSORED”"/>
    <hyperlink ref="B127" r:id="rId65" display="人皮启示录"/>
    <hyperlink ref="B129" r:id="rId66" display="异世的肖像"/>
    <hyperlink ref="B131" r:id="rId67" display="美女和野兽"/>
    <hyperlink ref="B133" r:id="rId68" display="碧蓝新星"/>
    <hyperlink ref="B135" r:id="rId69" display="你必须要幸福"/>
    <hyperlink ref="B137" r:id="rId70" display="荧光手镯"/>
    <hyperlink ref="B139" r:id="rId71" display="行为矫正仪"/>
    <hyperlink ref="B141" r:id="rId72" display="古老的信念与承诺"/>
    <hyperlink ref="B143" r:id="rId73" display="棘刺公交"/>
    <hyperlink ref="B145" r:id="rId74" display="空虚之梦"/>
    <hyperlink ref="B147" r:id="rId75" display="樱下墓"/>
    <hyperlink ref="B149" r:id="rId76" display="炎雀"/>
    <hyperlink ref="B151" r:id="rId77" display="阴"/>
    <hyperlink ref="B153" r:id="rId78" display="阳"/>
    <hyperlink ref="B155" r:id="rId79" display="回溯之钟"/>
    <hyperlink ref="B157" r:id="rId80" display="月光女神"/>
    <hyperlink ref="B159" r:id="rId81" display="深黯“军团”"/>
    <hyperlink ref="B161" r:id="rId82" display="波迪"/>
    <hyperlink ref="B163" r:id="rId83" display="寄生树"/>
    <hyperlink ref="B165" r:id="rId84" display="溶解之爱"/>
    <hyperlink ref="B167" r:id="rId85" display="风云法师"/>
    <hyperlink ref="B169" r:id="rId86" display="你是个秃子..."/>
  </hyperlink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18"/>
  <sheetViews>
    <sheetView showGridLines="0" workbookViewId="0">
      <selection activeCell="A1" sqref="A1"/>
    </sheetView>
  </sheetViews>
  <sheetFormatPr defaultColWidth="10" defaultRowHeight="13.2"/>
  <cols>
    <col min="1" max="1" width="4.85185185185185" customWidth="1"/>
    <col min="2" max="2" width="17.2777777777778" customWidth="1"/>
    <col min="3" max="3" width="17.3981481481481" customWidth="1"/>
    <col min="4" max="4" width="5.52777777777778" customWidth="1"/>
    <col min="5" max="5" width="36.8425925925926" customWidth="1"/>
    <col min="6" max="6" width="6.87962962962963" customWidth="1"/>
    <col min="7" max="7" width="17.2777777777778" customWidth="1"/>
    <col min="8" max="8" width="4.85185185185185" customWidth="1"/>
    <col min="9" max="9" width="19.2962962962963" customWidth="1"/>
    <col min="11" max="11" width="18.0833333333333" customWidth="1"/>
    <col min="13" max="13" width="34.2777777777778" customWidth="1"/>
  </cols>
  <sheetData>
    <row r="1" ht="46" customHeight="1" spans="1:31">
      <c r="A1" s="52"/>
      <c r="B1" s="2" t="s">
        <v>482</v>
      </c>
      <c r="C1" s="3"/>
      <c r="D1" s="3"/>
      <c r="E1" s="3"/>
      <c r="F1" s="3"/>
      <c r="G1" s="3"/>
      <c r="H1" s="3"/>
      <c r="I1" s="3"/>
      <c r="J1" s="40"/>
      <c r="K1" s="22"/>
      <c r="L1" s="22"/>
      <c r="M1" s="22"/>
      <c r="N1" s="22"/>
      <c r="O1" s="22"/>
      <c r="P1" s="22"/>
      <c r="Q1" s="22"/>
      <c r="R1" s="61"/>
      <c r="S1" s="61"/>
      <c r="T1" s="61"/>
      <c r="U1" s="61"/>
      <c r="V1" s="61"/>
      <c r="W1" s="61"/>
      <c r="X1" s="61"/>
      <c r="Y1" s="61"/>
      <c r="Z1" s="61"/>
      <c r="AA1" s="61"/>
      <c r="AB1" s="61"/>
      <c r="AC1" s="61"/>
      <c r="AD1" s="61"/>
      <c r="AE1" s="61" t="s">
        <v>483</v>
      </c>
    </row>
    <row r="2" ht="135" customHeight="1" spans="1:31">
      <c r="A2" s="52"/>
      <c r="B2" s="4" t="s">
        <v>484</v>
      </c>
      <c r="C2" s="5"/>
      <c r="D2" s="5"/>
      <c r="E2" s="5"/>
      <c r="F2" s="5"/>
      <c r="G2" s="5"/>
      <c r="H2" s="5"/>
      <c r="I2" s="5"/>
      <c r="J2" s="40"/>
      <c r="K2" s="22"/>
      <c r="L2" s="22"/>
      <c r="M2" s="22"/>
      <c r="N2" s="22"/>
      <c r="O2" s="22"/>
      <c r="P2" s="22"/>
      <c r="Q2" s="22"/>
      <c r="R2" s="61"/>
      <c r="S2" s="61"/>
      <c r="T2" s="61"/>
      <c r="U2" s="61"/>
      <c r="V2" s="61"/>
      <c r="W2" s="61"/>
      <c r="X2" s="61"/>
      <c r="Y2" s="61"/>
      <c r="Z2" s="61"/>
      <c r="AA2" s="61"/>
      <c r="AB2" s="61"/>
      <c r="AC2" s="61"/>
      <c r="AD2" s="61"/>
      <c r="AE2" s="61"/>
    </row>
    <row r="3" ht="40" customHeight="1" spans="1:31">
      <c r="A3" s="52"/>
      <c r="B3" s="5"/>
      <c r="C3" s="5"/>
      <c r="D3" s="5"/>
      <c r="E3" s="5"/>
      <c r="F3" s="5"/>
      <c r="G3" s="5"/>
      <c r="H3" s="5"/>
      <c r="I3" s="5"/>
      <c r="J3" s="40"/>
      <c r="K3" s="22"/>
      <c r="L3" s="22"/>
      <c r="M3" s="22"/>
      <c r="N3" s="22"/>
      <c r="O3" s="22"/>
      <c r="P3" s="22"/>
      <c r="Q3" s="22"/>
      <c r="R3" s="61"/>
      <c r="S3" s="61"/>
      <c r="T3" s="61"/>
      <c r="U3" s="61"/>
      <c r="V3" s="61"/>
      <c r="W3" s="61"/>
      <c r="X3" s="61"/>
      <c r="Y3" s="61"/>
      <c r="Z3" s="61"/>
      <c r="AA3" s="61"/>
      <c r="AB3" s="61"/>
      <c r="AC3" s="61"/>
      <c r="AD3" s="61"/>
      <c r="AE3" s="61"/>
    </row>
    <row r="4" ht="33.15" spans="1:31">
      <c r="A4" s="52"/>
      <c r="B4" s="53" t="s">
        <v>485</v>
      </c>
      <c r="C4" s="54"/>
      <c r="D4" s="54"/>
      <c r="E4" s="54"/>
      <c r="F4" s="54"/>
      <c r="G4" s="54"/>
      <c r="H4" s="54"/>
      <c r="I4" s="54"/>
      <c r="J4" s="40"/>
      <c r="K4" s="22"/>
      <c r="L4" s="22"/>
      <c r="M4" s="22"/>
      <c r="N4" s="22"/>
      <c r="O4" s="22"/>
      <c r="P4" s="22"/>
      <c r="Q4" s="22"/>
      <c r="R4" s="61"/>
      <c r="S4" s="61"/>
      <c r="T4" s="61"/>
      <c r="U4" s="61"/>
      <c r="V4" s="61"/>
      <c r="W4" s="61"/>
      <c r="X4" s="61"/>
      <c r="Y4" s="61"/>
      <c r="Z4" s="61"/>
      <c r="AA4" s="61"/>
      <c r="AB4" s="61"/>
      <c r="AC4" s="61"/>
      <c r="AD4" s="61"/>
      <c r="AE4" s="61"/>
    </row>
    <row r="5" ht="78" customHeight="1" spans="1:31">
      <c r="A5" s="52"/>
      <c r="B5" s="55" t="s">
        <v>486</v>
      </c>
      <c r="C5" s="56"/>
      <c r="D5" s="56"/>
      <c r="E5" s="11" t="s">
        <v>487</v>
      </c>
      <c r="G5" s="57" t="s">
        <v>488</v>
      </c>
      <c r="H5" s="58"/>
      <c r="I5" s="58"/>
      <c r="J5" s="22"/>
      <c r="K5" s="22"/>
      <c r="L5" s="22"/>
      <c r="M5" s="22"/>
      <c r="N5" s="22"/>
      <c r="O5" s="22"/>
      <c r="P5" s="22"/>
      <c r="Q5" s="22"/>
      <c r="R5" s="61"/>
      <c r="S5" s="61" t="s">
        <v>489</v>
      </c>
      <c r="T5" s="61"/>
      <c r="U5" s="61" t="s">
        <v>490</v>
      </c>
      <c r="V5" s="61"/>
      <c r="W5" s="61"/>
      <c r="X5" s="61"/>
      <c r="Y5" s="61"/>
      <c r="Z5" s="61"/>
      <c r="AA5" s="61"/>
      <c r="AB5" s="61"/>
      <c r="AC5" s="61"/>
      <c r="AD5" s="61"/>
      <c r="AE5" s="61"/>
    </row>
    <row r="6" ht="47" customHeight="1" spans="1:31">
      <c r="A6" s="52"/>
      <c r="B6" s="15" t="s">
        <v>491</v>
      </c>
      <c r="C6" s="18"/>
      <c r="D6" s="18"/>
      <c r="E6" s="59" t="s">
        <v>492</v>
      </c>
      <c r="F6" s="60">
        <v>2</v>
      </c>
      <c r="G6" s="60"/>
      <c r="H6" s="60"/>
      <c r="I6" s="60"/>
      <c r="J6" s="22"/>
      <c r="K6" s="22"/>
      <c r="L6" s="22"/>
      <c r="M6" s="22"/>
      <c r="N6" s="22"/>
      <c r="O6" s="22"/>
      <c r="P6" s="22"/>
      <c r="Q6" s="22"/>
      <c r="R6" s="61" t="s">
        <v>490</v>
      </c>
      <c r="S6" s="70"/>
      <c r="T6" s="61" t="s">
        <v>489</v>
      </c>
      <c r="U6" s="61"/>
      <c r="V6" s="61"/>
      <c r="W6" s="61"/>
      <c r="X6" s="61"/>
      <c r="Y6" s="61"/>
      <c r="Z6" s="61"/>
      <c r="AA6" s="61"/>
      <c r="AB6" s="61"/>
      <c r="AC6" s="61"/>
      <c r="AD6" s="61"/>
      <c r="AE6" s="61"/>
    </row>
    <row r="7" ht="30" customHeight="1" spans="1:31">
      <c r="A7" s="52"/>
      <c r="B7" s="19"/>
      <c r="C7" s="20"/>
      <c r="D7" s="20"/>
      <c r="E7" s="20"/>
      <c r="J7" s="40"/>
      <c r="K7" s="22"/>
      <c r="L7" s="22"/>
      <c r="M7" s="22"/>
      <c r="N7" s="22"/>
      <c r="O7" s="22"/>
      <c r="P7" s="22"/>
      <c r="Q7" s="22"/>
      <c r="R7" s="61"/>
      <c r="S7" s="61"/>
      <c r="T7" s="61"/>
      <c r="U7" s="61"/>
      <c r="V7" s="61"/>
      <c r="W7" s="61"/>
      <c r="X7" s="61"/>
      <c r="Y7" s="61"/>
      <c r="Z7" s="61"/>
      <c r="AA7" s="61"/>
      <c r="AB7" s="61"/>
      <c r="AC7" s="61"/>
      <c r="AD7" s="61"/>
      <c r="AE7" s="61"/>
    </row>
    <row r="8" ht="45" customHeight="1" spans="1:31">
      <c r="A8" s="52"/>
      <c r="B8" s="19"/>
      <c r="C8" s="21"/>
      <c r="D8" s="21"/>
      <c r="E8" s="21"/>
      <c r="F8" s="22"/>
      <c r="G8" s="22"/>
      <c r="H8" s="22"/>
      <c r="I8" s="22"/>
      <c r="J8" s="40"/>
      <c r="K8" s="44"/>
      <c r="L8" s="22"/>
      <c r="M8" s="22"/>
      <c r="N8" s="22"/>
      <c r="O8" s="22"/>
      <c r="P8" s="22"/>
      <c r="Q8" s="22"/>
      <c r="R8" s="61"/>
      <c r="S8" s="61"/>
      <c r="T8" s="61" t="s">
        <v>490</v>
      </c>
      <c r="U8" s="61"/>
      <c r="V8" s="61"/>
      <c r="W8" s="61"/>
      <c r="X8" s="61"/>
      <c r="Y8" s="61"/>
      <c r="Z8" s="61"/>
      <c r="AA8" s="61"/>
      <c r="AB8" s="61"/>
      <c r="AC8" s="61"/>
      <c r="AD8" s="61"/>
      <c r="AE8" s="61"/>
    </row>
    <row r="9" ht="33.15" spans="1:31">
      <c r="A9" s="52"/>
      <c r="B9" s="24" t="s">
        <v>493</v>
      </c>
      <c r="C9" s="25"/>
      <c r="D9" s="25"/>
      <c r="E9" s="25"/>
      <c r="F9" s="25"/>
      <c r="G9" s="25"/>
      <c r="H9" s="25"/>
      <c r="I9" s="45"/>
      <c r="J9" s="39"/>
      <c r="K9" s="67" t="s">
        <v>494</v>
      </c>
      <c r="L9" s="22"/>
      <c r="M9" s="22"/>
      <c r="N9" s="22"/>
      <c r="O9" s="22"/>
      <c r="P9" s="22"/>
      <c r="Q9" s="22"/>
      <c r="R9" s="61"/>
      <c r="S9" s="61"/>
      <c r="T9" s="61"/>
      <c r="U9" s="61"/>
      <c r="V9" s="61"/>
      <c r="W9" s="61"/>
      <c r="X9" s="61"/>
      <c r="Y9" s="61"/>
      <c r="Z9" s="61"/>
      <c r="AA9" s="61"/>
      <c r="AB9" s="61"/>
      <c r="AC9" s="61"/>
      <c r="AD9" s="61"/>
      <c r="AE9" s="61"/>
    </row>
    <row r="10" ht="32.4" spans="1:31">
      <c r="A10" s="52"/>
      <c r="B10" s="26" t="s">
        <v>495</v>
      </c>
      <c r="C10" s="27" t="s">
        <v>496</v>
      </c>
      <c r="D10" s="28"/>
      <c r="E10" s="27" t="s">
        <v>497</v>
      </c>
      <c r="F10" s="27"/>
      <c r="G10" s="27" t="s">
        <v>498</v>
      </c>
      <c r="H10" s="27"/>
      <c r="I10" s="47" t="s">
        <v>499</v>
      </c>
      <c r="J10" s="39"/>
      <c r="K10" s="48"/>
      <c r="L10" s="22"/>
      <c r="M10" s="22"/>
      <c r="N10" s="22"/>
      <c r="O10" s="22"/>
      <c r="P10" s="22"/>
      <c r="Q10" s="22"/>
      <c r="R10" s="61"/>
      <c r="S10" s="61"/>
      <c r="T10" s="61"/>
      <c r="U10" s="61"/>
      <c r="V10" s="61"/>
      <c r="W10" s="61"/>
      <c r="X10" s="61"/>
      <c r="Y10" s="61"/>
      <c r="Z10" s="61"/>
      <c r="AA10" s="61"/>
      <c r="AB10" s="61"/>
      <c r="AC10" s="61"/>
      <c r="AD10" s="61"/>
      <c r="AE10" s="61"/>
    </row>
    <row r="11" ht="33" spans="1:31">
      <c r="A11" s="52"/>
      <c r="B11" s="29"/>
      <c r="C11" s="30">
        <v>0.5</v>
      </c>
      <c r="D11" s="30" t="s">
        <v>500</v>
      </c>
      <c r="E11" s="30">
        <f>IF(B6=TRUE,1.5,1)</f>
        <v>1</v>
      </c>
      <c r="F11" s="30" t="s">
        <v>500</v>
      </c>
      <c r="G11" s="30">
        <f ca="1">INDIRECT(ADDRESS(C25+25,E25+2))</f>
        <v>0.45</v>
      </c>
      <c r="H11" s="30" t="s">
        <v>500</v>
      </c>
      <c r="I11" s="49">
        <f>IF(EXACT(G6,"ZAYIN"),7,IF(EXACT(G6,"TETH"),8,IF(EXACT(G6,"HE"),12,IF(EXACT(G6,"WAW"),16,23))))</f>
        <v>23</v>
      </c>
      <c r="J11" s="4"/>
      <c r="K11" s="4"/>
      <c r="L11" s="4"/>
      <c r="M11" s="4"/>
      <c r="N11" s="4"/>
      <c r="O11" s="4"/>
      <c r="P11" s="4"/>
      <c r="Q11" s="4"/>
      <c r="R11" s="61"/>
      <c r="S11" s="61"/>
      <c r="T11" s="61"/>
      <c r="U11" s="61"/>
      <c r="V11" s="61"/>
      <c r="W11" s="61"/>
      <c r="X11" s="61"/>
      <c r="Y11" s="61"/>
      <c r="Z11" s="61"/>
      <c r="AA11" s="61"/>
      <c r="AB11" s="61"/>
      <c r="AC11" s="61"/>
      <c r="AD11" s="61"/>
      <c r="AE11" s="61"/>
    </row>
    <row r="12" ht="50.4" spans="1:31">
      <c r="A12" s="52"/>
      <c r="B12" s="29"/>
      <c r="C12" s="31">
        <f ca="1">IF(EXACT(G11,"NaN"),"一级员工不能对ALEPH级工作",C11*E11*G11*I11)</f>
        <v>5.175</v>
      </c>
      <c r="D12" s="32"/>
      <c r="E12" s="32"/>
      <c r="F12" s="32"/>
      <c r="G12" s="32"/>
      <c r="H12" s="32"/>
      <c r="I12" s="50"/>
      <c r="J12" s="4"/>
      <c r="K12" s="4"/>
      <c r="L12" s="4"/>
      <c r="M12" s="4"/>
      <c r="N12" s="4"/>
      <c r="O12" s="4"/>
      <c r="P12" s="4"/>
      <c r="Q12" s="4"/>
      <c r="R12" s="61"/>
      <c r="S12" s="61"/>
      <c r="T12" s="61"/>
      <c r="U12" s="61"/>
      <c r="V12" s="61"/>
      <c r="W12" s="61"/>
      <c r="X12" s="61"/>
      <c r="Y12" s="61"/>
      <c r="Z12" s="61"/>
      <c r="AA12" s="61"/>
      <c r="AB12" s="61"/>
      <c r="AC12" s="61"/>
      <c r="AD12" s="61"/>
      <c r="AE12" s="61"/>
    </row>
    <row r="13" ht="33.75" spans="1:31">
      <c r="A13" s="52"/>
      <c r="B13" s="33"/>
      <c r="C13" s="34" t="s">
        <v>501</v>
      </c>
      <c r="D13" s="35">
        <v>20</v>
      </c>
      <c r="E13" s="35" t="s">
        <v>502</v>
      </c>
      <c r="F13" s="36">
        <f ca="1">D13/C12</f>
        <v>3.86473429951691</v>
      </c>
      <c r="G13" s="37" t="s">
        <v>503</v>
      </c>
      <c r="H13" s="38"/>
      <c r="I13" s="51"/>
      <c r="J13" s="40"/>
      <c r="K13" s="22"/>
      <c r="L13" s="22"/>
      <c r="M13" s="22"/>
      <c r="N13" s="22"/>
      <c r="O13" s="22"/>
      <c r="P13" s="22"/>
      <c r="Q13" s="22"/>
      <c r="R13" s="61"/>
      <c r="S13" s="61"/>
      <c r="T13" s="61"/>
      <c r="U13" s="61"/>
      <c r="V13" s="61"/>
      <c r="W13" s="61"/>
      <c r="X13" s="61"/>
      <c r="Y13" s="61"/>
      <c r="Z13" s="61"/>
      <c r="AA13" s="61"/>
      <c r="AB13" s="61"/>
      <c r="AC13" s="61"/>
      <c r="AD13" s="61"/>
      <c r="AE13" s="61"/>
    </row>
    <row r="14" ht="13.95" spans="1:31">
      <c r="A14" s="22"/>
      <c r="B14" s="22"/>
      <c r="C14" s="22"/>
      <c r="D14" s="23"/>
      <c r="E14" s="23"/>
      <c r="F14" s="23"/>
      <c r="G14" s="22"/>
      <c r="H14" s="22"/>
      <c r="I14" s="22"/>
      <c r="J14" s="40"/>
      <c r="K14" s="22"/>
      <c r="L14" s="22"/>
      <c r="M14" s="22"/>
      <c r="N14" s="22"/>
      <c r="O14" s="22"/>
      <c r="P14" s="22"/>
      <c r="Q14" s="22"/>
      <c r="R14" s="22"/>
      <c r="S14" s="22"/>
      <c r="T14" s="22"/>
      <c r="U14" s="22"/>
      <c r="V14" s="22"/>
      <c r="W14" s="22"/>
      <c r="X14" s="22"/>
      <c r="Y14" s="22"/>
      <c r="Z14" s="22"/>
      <c r="AA14" s="22"/>
      <c r="AB14" s="22"/>
      <c r="AC14" s="22"/>
      <c r="AD14" s="22"/>
      <c r="AE14" s="22"/>
    </row>
    <row r="15" spans="1:31">
      <c r="A15" s="22"/>
      <c r="B15" s="22"/>
      <c r="C15" s="22"/>
      <c r="D15" s="22"/>
      <c r="E15" s="22"/>
      <c r="F15" s="22"/>
      <c r="G15" s="22"/>
      <c r="H15" s="22"/>
      <c r="I15" s="22"/>
      <c r="J15" s="40"/>
      <c r="K15" s="22"/>
      <c r="L15" s="22"/>
      <c r="M15" s="22"/>
      <c r="N15" s="22"/>
      <c r="O15" s="22"/>
      <c r="P15" s="22"/>
      <c r="Q15" s="22"/>
      <c r="R15" s="22"/>
      <c r="S15" s="22"/>
      <c r="T15" s="22"/>
      <c r="U15" s="22"/>
      <c r="V15" s="22"/>
      <c r="W15" s="22"/>
      <c r="X15" s="22"/>
      <c r="Y15" s="22"/>
      <c r="Z15" s="22"/>
      <c r="AA15" s="22"/>
      <c r="AB15" s="22"/>
      <c r="AC15" s="22"/>
      <c r="AD15" s="22"/>
      <c r="AE15" s="22"/>
    </row>
    <row r="16" spans="1:31">
      <c r="A16" s="22"/>
      <c r="B16" s="22"/>
      <c r="C16" s="22"/>
      <c r="D16" s="22"/>
      <c r="E16" s="22"/>
      <c r="F16" s="22"/>
      <c r="G16" s="22"/>
      <c r="H16" s="22"/>
      <c r="I16" s="22"/>
      <c r="J16" s="40"/>
      <c r="K16" s="22"/>
      <c r="L16" s="22"/>
      <c r="M16" s="22"/>
      <c r="N16" s="22"/>
      <c r="O16" s="22"/>
      <c r="P16" s="22"/>
      <c r="Q16" s="22"/>
      <c r="R16" s="22"/>
      <c r="S16" s="22"/>
      <c r="T16" s="22"/>
      <c r="U16" s="22"/>
      <c r="V16" s="22"/>
      <c r="W16" s="22"/>
      <c r="X16" s="22"/>
      <c r="Y16" s="22"/>
      <c r="Z16" s="22"/>
      <c r="AA16" s="22"/>
      <c r="AB16" s="22"/>
      <c r="AC16" s="22"/>
      <c r="AD16" s="22"/>
      <c r="AE16" s="22"/>
    </row>
    <row r="17" spans="1:31">
      <c r="A17" s="23" t="s">
        <v>490</v>
      </c>
      <c r="B17" s="22"/>
      <c r="C17" s="22"/>
      <c r="D17" s="22"/>
      <c r="E17" s="22"/>
      <c r="F17" s="22"/>
      <c r="G17" s="22"/>
      <c r="H17" s="22"/>
      <c r="I17" s="22"/>
      <c r="J17" s="40"/>
      <c r="K17" s="22"/>
      <c r="L17" s="22"/>
      <c r="M17" s="22"/>
      <c r="N17" s="22"/>
      <c r="O17" s="22"/>
      <c r="P17" s="22"/>
      <c r="Q17" s="22"/>
      <c r="R17" s="22"/>
      <c r="S17" s="22"/>
      <c r="T17" s="22"/>
      <c r="U17" s="22"/>
      <c r="V17" s="22"/>
      <c r="W17" s="22"/>
      <c r="X17" s="22"/>
      <c r="Y17" s="22"/>
      <c r="Z17" s="22"/>
      <c r="AA17" s="22"/>
      <c r="AB17" s="22"/>
      <c r="AC17" s="22"/>
      <c r="AD17" s="22"/>
      <c r="AE17" s="22"/>
    </row>
    <row r="18" spans="1:31">
      <c r="A18" s="22"/>
      <c r="B18" s="22"/>
      <c r="C18" s="22"/>
      <c r="D18" s="22"/>
      <c r="E18" s="22"/>
      <c r="F18" s="22"/>
      <c r="G18" s="22"/>
      <c r="H18" s="22"/>
      <c r="I18" s="22"/>
      <c r="J18" s="40"/>
      <c r="K18" s="22"/>
      <c r="L18" s="22"/>
      <c r="M18" s="22"/>
      <c r="N18" s="22"/>
      <c r="O18" s="22"/>
      <c r="P18" s="22"/>
      <c r="Q18" s="22"/>
      <c r="R18" s="22"/>
      <c r="S18" s="22"/>
      <c r="T18" s="22"/>
      <c r="U18" s="22"/>
      <c r="V18" s="22"/>
      <c r="W18" s="22"/>
      <c r="X18" s="22"/>
      <c r="Y18" s="22"/>
      <c r="Z18" s="22"/>
      <c r="AA18" s="22"/>
      <c r="AB18" s="22"/>
      <c r="AC18" s="22"/>
      <c r="AD18" s="22"/>
      <c r="AE18" s="22"/>
    </row>
    <row r="19" spans="1:31">
      <c r="A19" s="22"/>
      <c r="B19" s="22"/>
      <c r="C19" s="22"/>
      <c r="D19" s="22"/>
      <c r="E19" s="22"/>
      <c r="F19" s="22"/>
      <c r="G19" s="22"/>
      <c r="H19" s="22"/>
      <c r="I19" s="22"/>
      <c r="J19" s="40"/>
      <c r="K19" s="22"/>
      <c r="L19" s="22"/>
      <c r="M19" s="22"/>
      <c r="N19" s="22"/>
      <c r="O19" s="22"/>
      <c r="P19" s="22"/>
      <c r="Q19" s="22"/>
      <c r="R19" s="22"/>
      <c r="S19" s="22"/>
      <c r="T19" s="22"/>
      <c r="U19" s="22"/>
      <c r="V19" s="22"/>
      <c r="W19" s="22"/>
      <c r="X19" s="22"/>
      <c r="Y19" s="22"/>
      <c r="Z19" s="22"/>
      <c r="AA19" s="22"/>
      <c r="AB19" s="22"/>
      <c r="AC19" s="22"/>
      <c r="AD19" s="22"/>
      <c r="AE19" s="22"/>
    </row>
    <row r="20" spans="1:31">
      <c r="A20" s="22"/>
      <c r="B20" s="22"/>
      <c r="C20" s="22"/>
      <c r="D20" s="22"/>
      <c r="E20" s="22"/>
      <c r="F20" s="22"/>
      <c r="G20" s="22"/>
      <c r="H20" s="22"/>
      <c r="I20" s="22"/>
      <c r="J20" s="40"/>
      <c r="K20" s="22"/>
      <c r="L20" s="22"/>
      <c r="M20" s="22"/>
      <c r="N20" s="22"/>
      <c r="O20" s="22"/>
      <c r="P20" s="22"/>
      <c r="Q20" s="22"/>
      <c r="R20" s="22"/>
      <c r="S20" s="22"/>
      <c r="T20" s="22"/>
      <c r="U20" s="22"/>
      <c r="V20" s="22"/>
      <c r="W20" s="22"/>
      <c r="X20" s="22"/>
      <c r="Y20" s="22"/>
      <c r="Z20" s="22"/>
      <c r="AA20" s="22"/>
      <c r="AB20" s="22"/>
      <c r="AC20" s="22"/>
      <c r="AD20" s="22"/>
      <c r="AE20" s="22"/>
    </row>
    <row r="21" spans="1:3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row>
    <row r="22" spans="1:3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row>
    <row r="23" spans="1:31">
      <c r="A23" s="22"/>
      <c r="B23" s="23"/>
      <c r="C23" s="23"/>
      <c r="D23" s="23"/>
      <c r="E23" s="23"/>
      <c r="F23" s="23"/>
      <c r="G23" s="23"/>
      <c r="H23" s="23"/>
      <c r="I23" s="23"/>
      <c r="J23" s="23"/>
      <c r="K23" s="22"/>
      <c r="L23" s="22"/>
      <c r="M23" s="22"/>
      <c r="N23" s="22"/>
      <c r="O23" s="22"/>
      <c r="P23" s="22"/>
      <c r="Q23" s="22"/>
      <c r="R23" s="22"/>
      <c r="S23" s="22"/>
      <c r="T23" s="22"/>
      <c r="U23" s="22"/>
      <c r="V23" s="22"/>
      <c r="W23" s="22"/>
      <c r="X23" s="22"/>
      <c r="Y23" s="22"/>
      <c r="Z23" s="22"/>
      <c r="AA23" s="22"/>
      <c r="AB23" s="22"/>
      <c r="AC23" s="22"/>
      <c r="AD23" s="22"/>
      <c r="AE23" s="22"/>
    </row>
    <row r="24" spans="1:31">
      <c r="A24" s="22"/>
      <c r="B24" s="23"/>
      <c r="C24" s="23"/>
      <c r="D24" s="23"/>
      <c r="E24" s="23"/>
      <c r="F24" s="23"/>
      <c r="G24" s="23"/>
      <c r="H24" s="23"/>
      <c r="I24" s="23"/>
      <c r="J24" s="23"/>
      <c r="K24" s="22"/>
      <c r="L24" s="22"/>
      <c r="M24" s="22"/>
      <c r="N24" s="22"/>
      <c r="O24" s="22"/>
      <c r="P24" s="22"/>
      <c r="Q24" s="22"/>
      <c r="R24" s="22"/>
      <c r="S24" s="22"/>
      <c r="T24" s="22"/>
      <c r="U24" s="22"/>
      <c r="V24" s="22"/>
      <c r="W24" s="22"/>
      <c r="X24" s="22"/>
      <c r="Y24" s="22"/>
      <c r="Z24" s="22"/>
      <c r="AA24" s="22"/>
      <c r="AB24" s="22"/>
      <c r="AC24" s="22"/>
      <c r="AD24" s="22"/>
      <c r="AE24" s="22"/>
    </row>
    <row r="25" ht="34.8" spans="1:31">
      <c r="A25" s="61"/>
      <c r="B25" s="61"/>
      <c r="C25" s="23">
        <f>IF(EXACT(E6,"Ⅰ"),1,IF(EXACT(E6,"Ⅱ"),2,IF(EXACT(E6,"Ⅲ"),3,IF(EXACT(E6,"Ⅳ"),4,5))))</f>
        <v>4</v>
      </c>
      <c r="D25" s="23"/>
      <c r="E25" s="23">
        <f>IF(EXACT(G6,"ZAYIN"),1,IF(EXACT(G6,"TETH"),2,IF(EXACT(G6,"HE"),3,IF(EXACT(G6,"WAW"),4,5))))</f>
        <v>5</v>
      </c>
      <c r="F25" s="23"/>
      <c r="G25" s="23"/>
      <c r="H25" s="23"/>
      <c r="I25" s="68" t="s">
        <v>504</v>
      </c>
      <c r="J25" s="68" t="s">
        <v>504</v>
      </c>
      <c r="K25" s="68" t="s">
        <v>504</v>
      </c>
      <c r="L25" s="68" t="s">
        <v>504</v>
      </c>
      <c r="M25" s="61"/>
      <c r="N25" s="61"/>
      <c r="O25" s="61"/>
      <c r="P25" s="61"/>
      <c r="Q25" s="61"/>
      <c r="R25" s="61"/>
      <c r="S25" s="61"/>
      <c r="T25" s="61"/>
      <c r="U25" s="61"/>
      <c r="V25" s="61"/>
      <c r="W25" s="61"/>
      <c r="X25" s="61"/>
      <c r="Y25" s="61"/>
      <c r="Z25" s="61"/>
      <c r="AA25" s="61"/>
      <c r="AB25" s="61"/>
      <c r="AC25" s="61"/>
      <c r="AD25" s="61"/>
      <c r="AE25" s="61"/>
    </row>
    <row r="26" ht="38.4" spans="1:31">
      <c r="A26" s="61"/>
      <c r="B26" s="61"/>
      <c r="C26" s="23">
        <v>0.6</v>
      </c>
      <c r="D26" s="23">
        <v>0.6</v>
      </c>
      <c r="E26" s="23">
        <v>0.72</v>
      </c>
      <c r="F26" s="23">
        <v>0.84</v>
      </c>
      <c r="G26" s="39">
        <v>0.6</v>
      </c>
      <c r="H26" s="61"/>
      <c r="I26" s="69" t="s">
        <v>504</v>
      </c>
      <c r="J26" s="61"/>
      <c r="K26" s="61"/>
      <c r="L26" s="61"/>
      <c r="M26" s="61"/>
      <c r="N26" s="61"/>
      <c r="O26" s="61"/>
      <c r="P26" s="61"/>
      <c r="Q26" s="61"/>
      <c r="R26" s="61"/>
      <c r="S26" s="61"/>
      <c r="T26" s="61"/>
      <c r="U26" s="61"/>
      <c r="V26" s="61"/>
      <c r="W26" s="61"/>
      <c r="X26" s="61"/>
      <c r="Y26" s="61"/>
      <c r="Z26" s="61"/>
      <c r="AA26" s="61"/>
      <c r="AB26" s="61"/>
      <c r="AC26" s="61"/>
      <c r="AD26" s="61"/>
      <c r="AE26" s="61"/>
    </row>
    <row r="27" ht="20.4" spans="1:31">
      <c r="A27" s="61"/>
      <c r="B27" s="22">
        <v>50</v>
      </c>
      <c r="C27" s="23">
        <v>0.44</v>
      </c>
      <c r="D27" s="23">
        <v>0.55</v>
      </c>
      <c r="E27" s="23">
        <v>0.55</v>
      </c>
      <c r="F27" s="23">
        <v>0.66</v>
      </c>
      <c r="G27" s="39">
        <v>0.77</v>
      </c>
      <c r="H27" s="61"/>
      <c r="I27" s="61"/>
      <c r="J27" s="61"/>
      <c r="K27" s="61"/>
      <c r="L27" s="61"/>
      <c r="M27" s="61"/>
      <c r="N27" s="61"/>
      <c r="O27" s="61"/>
      <c r="P27" s="61"/>
      <c r="Q27" s="61"/>
      <c r="R27" s="61"/>
      <c r="S27" s="61"/>
      <c r="T27" s="61"/>
      <c r="U27" s="40"/>
      <c r="V27" s="61"/>
      <c r="W27" s="61"/>
      <c r="X27" s="61"/>
      <c r="Y27" s="61"/>
      <c r="Z27" s="61"/>
      <c r="AA27" s="61"/>
      <c r="AB27" s="61"/>
      <c r="AC27" s="61"/>
      <c r="AD27" s="61"/>
      <c r="AE27" s="61"/>
    </row>
    <row r="28" ht="20.4" spans="1:31">
      <c r="A28" s="61"/>
      <c r="B28" s="62"/>
      <c r="C28" s="23">
        <v>0.3</v>
      </c>
      <c r="D28" s="23">
        <v>0.4</v>
      </c>
      <c r="E28" s="23">
        <v>0.5</v>
      </c>
      <c r="F28" s="23">
        <v>0.5</v>
      </c>
      <c r="G28" s="39">
        <v>0.6</v>
      </c>
      <c r="H28" s="61"/>
      <c r="I28" s="22"/>
      <c r="J28" s="61"/>
      <c r="K28" s="22"/>
      <c r="L28" s="61"/>
      <c r="M28" s="61"/>
      <c r="N28" s="61"/>
      <c r="O28" s="61"/>
      <c r="P28" s="61"/>
      <c r="Q28" s="61"/>
      <c r="R28" s="61"/>
      <c r="S28" s="61"/>
      <c r="T28" s="61"/>
      <c r="U28" s="40"/>
      <c r="V28" s="61"/>
      <c r="W28" s="61"/>
      <c r="X28" s="61"/>
      <c r="Y28" s="61"/>
      <c r="Z28" s="61"/>
      <c r="AA28" s="61"/>
      <c r="AB28" s="61"/>
      <c r="AC28" s="61"/>
      <c r="AD28" s="61"/>
      <c r="AE28" s="61"/>
    </row>
    <row r="29" ht="20.4" spans="1:31">
      <c r="A29" s="61"/>
      <c r="B29" s="61"/>
      <c r="C29" s="23">
        <v>0.18</v>
      </c>
      <c r="D29" s="23">
        <v>0.27</v>
      </c>
      <c r="E29" s="23">
        <v>0.36</v>
      </c>
      <c r="F29" s="23">
        <v>0.45</v>
      </c>
      <c r="G29" s="39">
        <v>0.45</v>
      </c>
      <c r="H29" s="61"/>
      <c r="I29" s="61"/>
      <c r="J29" s="22"/>
      <c r="K29" s="61"/>
      <c r="L29" s="61"/>
      <c r="M29" s="61"/>
      <c r="N29" s="61"/>
      <c r="O29" s="61"/>
      <c r="P29" s="61"/>
      <c r="Q29" s="61"/>
      <c r="R29" s="61"/>
      <c r="S29" s="61"/>
      <c r="T29" s="61"/>
      <c r="U29" s="40"/>
      <c r="V29" s="61"/>
      <c r="W29" s="61"/>
      <c r="X29" s="61"/>
      <c r="Y29" s="61"/>
      <c r="Z29" s="61"/>
      <c r="AA29" s="61"/>
      <c r="AB29" s="61"/>
      <c r="AC29" s="61"/>
      <c r="AD29" s="61"/>
      <c r="AE29" s="61"/>
    </row>
    <row r="30" ht="20.4" spans="1:31">
      <c r="A30" s="61"/>
      <c r="B30" s="61"/>
      <c r="C30" s="23">
        <v>0.08</v>
      </c>
      <c r="D30" s="23">
        <v>0.16</v>
      </c>
      <c r="E30" s="23">
        <v>0.24</v>
      </c>
      <c r="F30" s="23">
        <v>0.32</v>
      </c>
      <c r="G30" s="39">
        <v>0.4</v>
      </c>
      <c r="H30" s="61"/>
      <c r="I30" s="61"/>
      <c r="J30" s="61"/>
      <c r="K30" s="61"/>
      <c r="L30" s="61"/>
      <c r="M30" s="61"/>
      <c r="N30" s="61"/>
      <c r="O30" s="61"/>
      <c r="P30" s="61"/>
      <c r="Q30" s="61"/>
      <c r="R30" s="61"/>
      <c r="S30" s="61"/>
      <c r="T30" s="61"/>
      <c r="U30" s="40"/>
      <c r="V30" s="61"/>
      <c r="W30" s="61"/>
      <c r="X30" s="61"/>
      <c r="Y30" s="61"/>
      <c r="Z30" s="61"/>
      <c r="AA30" s="61"/>
      <c r="AB30" s="61"/>
      <c r="AC30" s="61"/>
      <c r="AD30" s="61"/>
      <c r="AE30" s="71"/>
    </row>
    <row r="31" ht="20.4" spans="1:31">
      <c r="A31" s="61"/>
      <c r="B31" s="61"/>
      <c r="C31" s="61"/>
      <c r="D31" s="61"/>
      <c r="E31" s="61"/>
      <c r="F31" s="61"/>
      <c r="G31" s="61"/>
      <c r="H31" s="61"/>
      <c r="I31" s="61"/>
      <c r="J31" s="61"/>
      <c r="K31" s="61"/>
      <c r="L31" s="61"/>
      <c r="M31" s="22"/>
      <c r="N31" s="22"/>
      <c r="O31" s="22"/>
      <c r="P31" s="22"/>
      <c r="Q31" s="22"/>
      <c r="R31" s="22"/>
      <c r="S31" s="22"/>
      <c r="T31" s="22"/>
      <c r="U31" s="22"/>
      <c r="V31" s="22"/>
      <c r="W31" s="22"/>
      <c r="X31" s="22"/>
      <c r="Y31" s="22"/>
      <c r="Z31" s="22"/>
      <c r="AA31" s="22"/>
      <c r="AB31" s="22"/>
      <c r="AC31" s="22"/>
      <c r="AD31" s="22"/>
      <c r="AE31" s="22"/>
    </row>
    <row r="32" spans="1:3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row>
    <row r="33" spans="1:3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row>
    <row r="34" spans="1:3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row>
    <row r="35" spans="1:3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row>
    <row r="36" spans="1:3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row>
    <row r="37" spans="1:31">
      <c r="A37" s="22"/>
      <c r="B37" s="22"/>
      <c r="C37" s="22"/>
      <c r="D37" s="22"/>
      <c r="E37" s="22"/>
      <c r="F37" s="22"/>
      <c r="G37" s="63"/>
      <c r="H37" s="22"/>
      <c r="I37" s="22"/>
      <c r="J37" s="22"/>
      <c r="K37" s="22"/>
      <c r="L37" s="22"/>
      <c r="M37" s="22"/>
      <c r="N37" s="22"/>
      <c r="O37" s="22"/>
      <c r="P37" s="22"/>
      <c r="Q37" s="22"/>
      <c r="R37" s="22"/>
      <c r="S37" s="22"/>
      <c r="T37" s="22"/>
      <c r="U37" s="22"/>
      <c r="V37" s="22"/>
      <c r="W37" s="22"/>
      <c r="X37" s="22"/>
      <c r="Y37" s="22"/>
      <c r="Z37" s="22"/>
      <c r="AA37" s="22"/>
      <c r="AB37" s="22"/>
      <c r="AC37" s="22"/>
      <c r="AD37" s="22"/>
      <c r="AE37" s="22"/>
    </row>
    <row r="38" spans="1:3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row>
    <row r="39" spans="1:3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row>
    <row r="40" spans="1:3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row>
    <row r="41" spans="1:3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row>
    <row r="42" spans="1:3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row>
    <row r="43" spans="1:3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row>
    <row r="44" ht="26.4" spans="1:3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72" t="s">
        <v>504</v>
      </c>
    </row>
    <row r="45" spans="1:3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73"/>
    </row>
    <row r="46" spans="1:3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73"/>
    </row>
    <row r="47" spans="1:31">
      <c r="A47" s="64"/>
      <c r="B47" s="64"/>
      <c r="C47" s="64"/>
      <c r="D47" s="64"/>
      <c r="E47" s="64"/>
      <c r="F47" s="64"/>
      <c r="G47" s="64"/>
      <c r="H47" s="64"/>
      <c r="I47" s="64"/>
      <c r="J47" s="64"/>
      <c r="K47" s="64"/>
      <c r="L47" s="64"/>
      <c r="M47" s="64"/>
      <c r="N47" s="64"/>
      <c r="O47" s="64"/>
      <c r="P47" s="64"/>
      <c r="Y47" s="66" t="s">
        <v>505</v>
      </c>
      <c r="AE47" s="5"/>
    </row>
    <row r="48" ht="26.4" spans="1:31">
      <c r="A48" s="64"/>
      <c r="B48" s="65"/>
      <c r="C48" s="64"/>
      <c r="D48" s="64"/>
      <c r="E48" s="65"/>
      <c r="F48" s="64"/>
      <c r="G48" s="64"/>
      <c r="H48" s="64"/>
      <c r="I48" s="64"/>
      <c r="J48" s="64"/>
      <c r="K48" s="64"/>
      <c r="L48" s="64"/>
      <c r="M48" s="64"/>
      <c r="N48" s="64"/>
      <c r="O48" s="64"/>
      <c r="P48" s="64"/>
      <c r="Y48" s="74" t="s">
        <v>506</v>
      </c>
      <c r="AE48" s="5"/>
    </row>
    <row r="49" spans="1:31">
      <c r="A49" s="64"/>
      <c r="B49" s="65"/>
      <c r="C49" s="64"/>
      <c r="D49" s="64"/>
      <c r="E49" s="65"/>
      <c r="F49" s="64"/>
      <c r="G49" s="64"/>
      <c r="H49" s="64"/>
      <c r="I49" s="64"/>
      <c r="J49" s="64"/>
      <c r="K49" s="64"/>
      <c r="L49" s="64"/>
      <c r="M49" s="64"/>
      <c r="N49" s="64"/>
      <c r="O49" s="64"/>
      <c r="P49" s="64"/>
      <c r="Y49" t="s">
        <v>507</v>
      </c>
      <c r="AE49" s="5"/>
    </row>
    <row r="50" ht="26.4" spans="1:31">
      <c r="A50" s="64"/>
      <c r="B50" s="65"/>
      <c r="C50" s="64"/>
      <c r="D50" s="64"/>
      <c r="E50" s="65"/>
      <c r="F50" s="64"/>
      <c r="G50" s="64"/>
      <c r="H50" s="64"/>
      <c r="I50" s="64"/>
      <c r="J50" s="64"/>
      <c r="K50" s="64"/>
      <c r="L50" s="64"/>
      <c r="M50" s="64"/>
      <c r="N50" s="64"/>
      <c r="O50" s="64"/>
      <c r="P50" s="64"/>
      <c r="Y50" s="75" t="s">
        <v>508</v>
      </c>
      <c r="AE50" s="5"/>
    </row>
    <row r="51" spans="1:31">
      <c r="A51" s="64"/>
      <c r="B51" s="65"/>
      <c r="C51" s="64"/>
      <c r="D51" s="64"/>
      <c r="E51" s="65"/>
      <c r="F51" s="64"/>
      <c r="G51" s="64"/>
      <c r="H51" s="64"/>
      <c r="I51" s="64"/>
      <c r="J51" s="64"/>
      <c r="K51" s="64"/>
      <c r="L51" s="64"/>
      <c r="M51" s="64"/>
      <c r="N51" s="64"/>
      <c r="O51" s="64"/>
      <c r="P51" s="64"/>
      <c r="Y51" t="s">
        <v>509</v>
      </c>
      <c r="AE51" s="5"/>
    </row>
    <row r="52" spans="1:31">
      <c r="A52" s="64"/>
      <c r="B52" s="65"/>
      <c r="C52" s="64"/>
      <c r="D52" s="64"/>
      <c r="E52" s="65"/>
      <c r="F52" s="64"/>
      <c r="G52" s="64"/>
      <c r="H52" s="64"/>
      <c r="I52" s="64"/>
      <c r="J52" s="64"/>
      <c r="K52" s="64"/>
      <c r="L52" s="64"/>
      <c r="M52" s="64"/>
      <c r="N52" s="64"/>
      <c r="O52" s="64"/>
      <c r="P52" s="64"/>
      <c r="R52" s="65"/>
      <c r="Y52" s="76"/>
      <c r="AE52" s="5"/>
    </row>
    <row r="53" spans="1:31">
      <c r="A53" s="64"/>
      <c r="B53" s="65"/>
      <c r="C53" s="64"/>
      <c r="D53" s="64"/>
      <c r="E53" s="65"/>
      <c r="F53" s="64"/>
      <c r="G53" s="64"/>
      <c r="H53" s="64"/>
      <c r="I53" s="64"/>
      <c r="J53" s="64"/>
      <c r="K53" s="64"/>
      <c r="L53" s="64"/>
      <c r="M53" s="64"/>
      <c r="N53" s="64"/>
      <c r="O53" s="64"/>
      <c r="P53" s="64"/>
      <c r="AE53" s="5"/>
    </row>
    <row r="54" spans="1:31">
      <c r="A54" s="64"/>
      <c r="B54" s="65"/>
      <c r="C54" s="64"/>
      <c r="D54" s="64"/>
      <c r="E54" s="65"/>
      <c r="F54" s="64"/>
      <c r="G54" s="64"/>
      <c r="H54" s="64"/>
      <c r="I54" s="64"/>
      <c r="J54" s="64"/>
      <c r="K54" s="64"/>
      <c r="L54" s="64"/>
      <c r="M54" s="64"/>
      <c r="N54" s="64"/>
      <c r="O54" s="64"/>
      <c r="P54" s="64"/>
      <c r="AE54" s="5"/>
    </row>
    <row r="55" spans="1:31">
      <c r="A55" s="64"/>
      <c r="B55" s="65"/>
      <c r="C55" s="64"/>
      <c r="D55" s="64"/>
      <c r="E55" s="65"/>
      <c r="F55" s="64"/>
      <c r="G55" s="64"/>
      <c r="H55" s="64"/>
      <c r="I55" s="64"/>
      <c r="J55" s="64"/>
      <c r="K55" s="64"/>
      <c r="L55" s="64"/>
      <c r="M55" s="64"/>
      <c r="N55" s="64"/>
      <c r="O55" s="64"/>
      <c r="P55" s="64"/>
      <c r="Q55" s="64"/>
      <c r="R55" s="64"/>
      <c r="S55" s="64"/>
      <c r="AE55" s="5"/>
    </row>
    <row r="56" spans="31:31">
      <c r="AE56" s="5"/>
    </row>
    <row r="57" spans="2:31">
      <c r="B57" s="66"/>
      <c r="E57" s="66"/>
      <c r="K57" t="s">
        <v>490</v>
      </c>
      <c r="AE57" s="5"/>
    </row>
    <row r="58" spans="2:31">
      <c r="B58" s="66"/>
      <c r="E58" s="66"/>
      <c r="AE58" s="5"/>
    </row>
    <row r="59" spans="2:31">
      <c r="B59" s="66"/>
      <c r="E59" s="66"/>
      <c r="AE59" s="5"/>
    </row>
    <row r="60" ht="27" customHeight="1" spans="2:31">
      <c r="B60" s="66"/>
      <c r="E60" s="66"/>
      <c r="AE60" s="5"/>
    </row>
    <row r="61" spans="2:31">
      <c r="B61" s="66"/>
      <c r="E61" s="66"/>
      <c r="AE61" s="5"/>
    </row>
    <row r="62" spans="2:31">
      <c r="B62" s="66"/>
      <c r="E62" s="66"/>
      <c r="AE62" s="5"/>
    </row>
    <row r="63" spans="2:31">
      <c r="B63" s="66"/>
      <c r="E63" s="66"/>
      <c r="AE63" s="5"/>
    </row>
    <row r="64" spans="2:31">
      <c r="B64" s="66"/>
      <c r="E64" s="66"/>
      <c r="AE64" s="5"/>
    </row>
    <row r="65" spans="2:31">
      <c r="B65" s="66"/>
      <c r="E65" s="66"/>
      <c r="AE65" s="5"/>
    </row>
    <row r="66" spans="2:31">
      <c r="B66" s="66"/>
      <c r="E66" s="66"/>
      <c r="AE66" s="5"/>
    </row>
    <row r="67" spans="2:31">
      <c r="B67" s="66"/>
      <c r="E67" s="66"/>
      <c r="AE67" s="5"/>
    </row>
    <row r="68" spans="2:31">
      <c r="B68" s="66"/>
      <c r="E68" s="66"/>
      <c r="AE68" s="5"/>
    </row>
    <row r="69" spans="2:31">
      <c r="B69" s="66"/>
      <c r="E69" s="66"/>
      <c r="AE69" s="5"/>
    </row>
    <row r="70" spans="2:31">
      <c r="B70" s="66"/>
      <c r="E70" s="66"/>
      <c r="AE70" s="5"/>
    </row>
    <row r="71" spans="2:31">
      <c r="B71" s="66"/>
      <c r="E71" s="66"/>
      <c r="AE71" s="5"/>
    </row>
    <row r="72" spans="2:31">
      <c r="B72" s="66"/>
      <c r="E72" s="66"/>
      <c r="AE72" s="5"/>
    </row>
    <row r="73" spans="2:31">
      <c r="B73" s="66"/>
      <c r="E73" s="66"/>
      <c r="AE73" s="5"/>
    </row>
    <row r="74" spans="2:31">
      <c r="B74" s="66"/>
      <c r="E74" s="66"/>
      <c r="AE74" s="5"/>
    </row>
    <row r="75" spans="2:31">
      <c r="B75" s="66"/>
      <c r="E75" s="66"/>
      <c r="AE75" s="5"/>
    </row>
    <row r="76" spans="2:31">
      <c r="B76" s="66"/>
      <c r="E76" s="66"/>
      <c r="AE76" s="5"/>
    </row>
    <row r="77" spans="2:31">
      <c r="B77" s="66"/>
      <c r="E77" s="66"/>
      <c r="AE77" s="5"/>
    </row>
    <row r="78" spans="2:31">
      <c r="B78" s="66"/>
      <c r="E78" s="66"/>
      <c r="AE78" s="5"/>
    </row>
    <row r="79" spans="2:31">
      <c r="B79" s="66"/>
      <c r="E79" s="66"/>
      <c r="AE79" s="5"/>
    </row>
    <row r="80" spans="2:31">
      <c r="B80" s="66"/>
      <c r="E80" s="66"/>
      <c r="AE80" s="5"/>
    </row>
    <row r="81" spans="2:31">
      <c r="B81" s="66"/>
      <c r="E81" s="66"/>
      <c r="AE81" s="5"/>
    </row>
    <row r="82" spans="2:31">
      <c r="B82" s="66"/>
      <c r="E82" s="66"/>
      <c r="AE82" s="5"/>
    </row>
    <row r="83" spans="2:31">
      <c r="B83" s="66"/>
      <c r="E83" s="66"/>
      <c r="AE83" s="5"/>
    </row>
    <row r="84" spans="2:31">
      <c r="B84" s="66"/>
      <c r="E84" s="66"/>
      <c r="AE84" s="5"/>
    </row>
    <row r="85" spans="2:31">
      <c r="B85" s="66"/>
      <c r="E85" s="66"/>
      <c r="AE85" s="5"/>
    </row>
    <row r="86" spans="2:31">
      <c r="B86" s="66"/>
      <c r="E86" s="66"/>
      <c r="AE86" s="5"/>
    </row>
    <row r="87" spans="2:31">
      <c r="B87" s="66"/>
      <c r="E87" s="66"/>
      <c r="AE87" s="5"/>
    </row>
    <row r="88" spans="2:31">
      <c r="B88" s="66"/>
      <c r="E88" s="66"/>
      <c r="AE88" s="5"/>
    </row>
    <row r="89" spans="2:31">
      <c r="B89" s="66"/>
      <c r="E89" s="66"/>
      <c r="AE89" s="5"/>
    </row>
    <row r="90" spans="1:31">
      <c r="A90" s="66" t="s">
        <v>24</v>
      </c>
      <c r="C90" t="s">
        <v>13</v>
      </c>
      <c r="D90" t="s">
        <v>43</v>
      </c>
      <c r="E90" s="66" t="s">
        <v>510</v>
      </c>
      <c r="AE90" s="5"/>
    </row>
    <row r="91" spans="2:31">
      <c r="B91" s="66"/>
      <c r="E91" s="66"/>
      <c r="AE91" s="5"/>
    </row>
    <row r="92" spans="2:31">
      <c r="B92" s="66"/>
      <c r="E92" s="66"/>
      <c r="AE92" s="5"/>
    </row>
    <row r="93" spans="2:31">
      <c r="B93" s="66"/>
      <c r="E93" s="66"/>
      <c r="AE93" s="5"/>
    </row>
    <row r="94" spans="2:31">
      <c r="B94" s="66"/>
      <c r="E94" s="66"/>
      <c r="AE94" s="5"/>
    </row>
    <row r="95" spans="2:31">
      <c r="B95" s="66"/>
      <c r="E95" s="66"/>
      <c r="AE95" s="5"/>
    </row>
    <row r="96" spans="2:31">
      <c r="B96" s="66"/>
      <c r="E96" s="66"/>
      <c r="AE96" s="5"/>
    </row>
    <row r="97" spans="2:31">
      <c r="B97" s="66"/>
      <c r="E97" s="66"/>
      <c r="AE97" s="5"/>
    </row>
    <row r="98" spans="2:31">
      <c r="B98" s="66"/>
      <c r="E98" s="66"/>
      <c r="AE98" s="5"/>
    </row>
    <row r="99" spans="2:31">
      <c r="B99" s="66"/>
      <c r="E99" s="66"/>
      <c r="AE99" s="5"/>
    </row>
    <row r="100" spans="2:31">
      <c r="B100" s="66"/>
      <c r="E100" s="66"/>
      <c r="AE100" s="5" t="s">
        <v>511</v>
      </c>
    </row>
    <row r="101" spans="2:31">
      <c r="B101" s="66"/>
      <c r="E101" s="66"/>
      <c r="AE101" s="5"/>
    </row>
    <row r="102" spans="2:31">
      <c r="B102" s="66"/>
      <c r="E102" s="66"/>
      <c r="AE102" s="5"/>
    </row>
    <row r="103" spans="2:31">
      <c r="B103" s="66"/>
      <c r="E103" s="66"/>
      <c r="AE103" s="5"/>
    </row>
    <row r="104" spans="2:31">
      <c r="B104" s="66"/>
      <c r="E104" s="66"/>
      <c r="AE104" s="5"/>
    </row>
    <row r="105" spans="2:31">
      <c r="B105" s="66"/>
      <c r="AE105" s="5"/>
    </row>
    <row r="106" spans="2:31">
      <c r="B106" s="66"/>
      <c r="E106" s="66"/>
      <c r="AE106" s="5"/>
    </row>
    <row r="107" spans="2:31">
      <c r="B107" s="66"/>
      <c r="E107" s="66"/>
      <c r="AE107" s="5"/>
    </row>
    <row r="108" spans="2:31">
      <c r="B108" s="66"/>
      <c r="E108" s="66"/>
      <c r="AE108" s="5"/>
    </row>
    <row r="109" spans="2:31">
      <c r="B109" s="66"/>
      <c r="E109" s="66"/>
      <c r="AE109" s="5"/>
    </row>
    <row r="110" spans="2:31">
      <c r="B110" s="66"/>
      <c r="E110" s="66"/>
      <c r="AE110" s="5"/>
    </row>
    <row r="111" spans="2:31">
      <c r="B111" s="66"/>
      <c r="E111" s="66"/>
      <c r="AE111" s="5"/>
    </row>
    <row r="112" spans="2:31">
      <c r="B112" s="66"/>
      <c r="E112" s="66"/>
      <c r="AE112" s="5"/>
    </row>
    <row r="113" spans="2:31">
      <c r="B113" s="66"/>
      <c r="E113" s="66"/>
      <c r="AE113" s="5"/>
    </row>
    <row r="114" spans="2:31">
      <c r="B114" s="66"/>
      <c r="E114" s="66"/>
      <c r="AE114" s="5"/>
    </row>
    <row r="115" spans="2:31">
      <c r="B115" s="66"/>
      <c r="E115" s="66"/>
      <c r="AE115" s="5"/>
    </row>
    <row r="116" spans="2:31">
      <c r="B116" s="66"/>
      <c r="E116" s="66"/>
      <c r="AE116" s="5"/>
    </row>
    <row r="117" spans="2:31">
      <c r="B117" s="66"/>
      <c r="E117" s="66"/>
      <c r="AE117" s="5"/>
    </row>
    <row r="118" spans="2:31">
      <c r="B118" s="66"/>
      <c r="E118" s="66"/>
      <c r="AE118" s="5"/>
    </row>
  </sheetData>
  <mergeCells count="12">
    <mergeCell ref="B1:I1"/>
    <mergeCell ref="B4:I4"/>
    <mergeCell ref="B5:D5"/>
    <mergeCell ref="E5:F5"/>
    <mergeCell ref="G5:I5"/>
    <mergeCell ref="B6:D6"/>
    <mergeCell ref="F6:I6"/>
    <mergeCell ref="B7:I7"/>
    <mergeCell ref="B9:I9"/>
    <mergeCell ref="C12:I12"/>
    <mergeCell ref="B10:B12"/>
    <mergeCell ref="B2:I3"/>
  </mergeCells>
  <dataValidations count="5">
    <dataValidation type="list" allowBlank="1" showInputMessage="1" showErrorMessage="1" sqref="E6">
      <formula1>"Ⅰ,Ⅱ,Ⅲ,Ⅳ,V,"</formula1>
    </dataValidation>
    <dataValidation type="list" allowBlank="1" showInputMessage="1" showErrorMessage="1" sqref="F6 G6 H6 I6">
      <formula1>"1,2,3,4,5,"</formula1>
    </dataValidation>
    <dataValidation type="list" allowBlank="1" showInputMessage="1" showErrorMessage="1" sqref="D13 M32">
      <formula1>"10,20,30,40,50,60,70,80,90,100,"</formula1>
    </dataValidation>
    <dataValidation type="list" showInputMessage="1" showErrorMessage="1" sqref="E37">
      <formula1>"Ⅰ,Ⅱ,Ⅲ,Ⅳ,Ⅴ,"</formula1>
    </dataValidation>
    <dataValidation type="list" allowBlank="1" showInputMessage="1" showErrorMessage="1" sqref="G37">
      <formula1>"ZAYIN,TETH,HE,WAW,ALEPH,"</formula1>
    </dataValidation>
  </dataValidations>
  <hyperlinks>
    <hyperlink ref="B2" r:id="rId4" display="使用须知：本表用来粗略估算员工对异想体进行工作的属性加成，输入区的红底单元格均可操作(科技为打勾，品质和异想体等级为下拉选项)，完成输入后，会自动计算单次工作期望的属性加成和提升20点属性需要的工作次数。&#10;&#10;声明：本表用来粗略估算员工对异想体进行工作的属性加成&#10;很多数值采用的是期望，实际情况可能会有较大差异，但进行一个简单的加班参考还是没问题的&#10;具体计算公式可以转去wiki职员界面查看：&#10;https://lobotomycorp.fandom.com/zh/wiki/%E8%81%8C%E5%91%98"/>
  </hyperlinks>
  <pageMargins left="0.75" right="0.75" top="1" bottom="1" header="0.5" footer="0.5"/>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AE198"/>
  <sheetViews>
    <sheetView showGridLines="0" workbookViewId="0">
      <selection activeCell="A1" sqref="A1"/>
    </sheetView>
  </sheetViews>
  <sheetFormatPr defaultColWidth="10" defaultRowHeight="13.2"/>
  <cols>
    <col min="1" max="1" width="4.0462962962963" customWidth="1"/>
    <col min="2" max="2" width="17.2777777777778" customWidth="1"/>
    <col min="3" max="3" width="17.3981481481481" customWidth="1"/>
    <col min="4" max="4" width="5.52777777777778" customWidth="1"/>
    <col min="5" max="5" width="42.9166666666667" customWidth="1"/>
    <col min="6" max="6" width="6.87962962962963" customWidth="1"/>
    <col min="7" max="7" width="17.2777777777778" customWidth="1"/>
    <col min="8" max="8" width="4.85185185185185" customWidth="1"/>
    <col min="9" max="9" width="19.2962962962963" customWidth="1"/>
    <col min="11" max="11" width="18.0833333333333" customWidth="1"/>
    <col min="13" max="13" width="34.2777777777778" customWidth="1"/>
  </cols>
  <sheetData>
    <row r="1" ht="46" customHeight="1" spans="1:31">
      <c r="A1" s="1"/>
      <c r="B1" s="2" t="s">
        <v>482</v>
      </c>
      <c r="C1" s="3"/>
      <c r="D1" s="3"/>
      <c r="E1" s="3"/>
      <c r="F1" s="3"/>
      <c r="G1" s="3"/>
      <c r="H1" s="3"/>
      <c r="I1" s="3"/>
      <c r="J1" s="40"/>
      <c r="K1" s="22"/>
      <c r="L1" s="22"/>
      <c r="M1" s="22"/>
      <c r="N1" s="22"/>
      <c r="O1" s="22"/>
      <c r="P1" s="22"/>
      <c r="Q1" s="22"/>
      <c r="R1" s="22"/>
      <c r="S1" s="22"/>
      <c r="T1" s="22"/>
      <c r="U1" s="22"/>
      <c r="V1" s="22"/>
      <c r="W1" s="22"/>
      <c r="X1" s="22"/>
      <c r="Y1" s="22"/>
      <c r="Z1" s="22"/>
      <c r="AA1" s="22"/>
      <c r="AB1" s="22"/>
      <c r="AC1" s="22"/>
      <c r="AD1" s="22"/>
      <c r="AE1" s="22"/>
    </row>
    <row r="2" ht="135" customHeight="1" spans="1:31">
      <c r="A2" s="1"/>
      <c r="B2" s="4" t="s">
        <v>512</v>
      </c>
      <c r="C2" s="5"/>
      <c r="D2" s="5"/>
      <c r="E2" s="5"/>
      <c r="F2" s="5"/>
      <c r="G2" s="5"/>
      <c r="H2" s="5"/>
      <c r="I2" s="5"/>
      <c r="J2" s="40"/>
      <c r="K2" s="22"/>
      <c r="L2" s="22"/>
      <c r="M2" s="22"/>
      <c r="N2" s="22"/>
      <c r="O2" s="22"/>
      <c r="P2" s="22"/>
      <c r="Q2" s="22"/>
      <c r="R2" s="22"/>
      <c r="S2" s="22"/>
      <c r="T2" s="22"/>
      <c r="U2" s="22"/>
      <c r="V2" s="22"/>
      <c r="W2" s="22"/>
      <c r="X2" s="22"/>
      <c r="Y2" s="22"/>
      <c r="Z2" s="22"/>
      <c r="AA2" s="22"/>
      <c r="AB2" s="22"/>
      <c r="AC2" s="22"/>
      <c r="AD2" s="22"/>
      <c r="AE2" s="22"/>
    </row>
    <row r="3" ht="40" customHeight="1" spans="1:31">
      <c r="A3" s="1"/>
      <c r="B3" s="5"/>
      <c r="C3" s="5"/>
      <c r="D3" s="5"/>
      <c r="E3" s="5"/>
      <c r="F3" s="5"/>
      <c r="G3" s="5"/>
      <c r="H3" s="5"/>
      <c r="I3" s="5"/>
      <c r="J3" s="40"/>
      <c r="K3" s="22"/>
      <c r="L3" s="22"/>
      <c r="M3" s="22"/>
      <c r="N3" s="22"/>
      <c r="O3" s="22"/>
      <c r="P3" s="22"/>
      <c r="Q3" s="22"/>
      <c r="R3" s="22"/>
      <c r="S3" s="22"/>
      <c r="T3" s="22"/>
      <c r="U3" s="22"/>
      <c r="V3" s="22"/>
      <c r="W3" s="22"/>
      <c r="X3" s="22"/>
      <c r="Y3" s="22"/>
      <c r="Z3" s="22"/>
      <c r="AA3" s="22"/>
      <c r="AB3" s="22"/>
      <c r="AC3" s="22"/>
      <c r="AD3" s="22"/>
      <c r="AE3" s="22"/>
    </row>
    <row r="4" ht="33.15" spans="1:31">
      <c r="A4" s="1"/>
      <c r="B4" s="6" t="s">
        <v>485</v>
      </c>
      <c r="C4" s="7"/>
      <c r="D4" s="7"/>
      <c r="E4" s="7"/>
      <c r="F4" s="7"/>
      <c r="G4" s="7"/>
      <c r="H4" s="7"/>
      <c r="I4" s="41"/>
      <c r="J4" s="40"/>
      <c r="K4" s="22"/>
      <c r="L4" s="22"/>
      <c r="M4" s="22"/>
      <c r="N4" s="22"/>
      <c r="O4" s="22"/>
      <c r="P4" s="22"/>
      <c r="Q4" s="22"/>
      <c r="R4" s="22"/>
      <c r="S4" s="22"/>
      <c r="T4" s="22"/>
      <c r="U4" s="22"/>
      <c r="V4" s="22"/>
      <c r="W4" s="22"/>
      <c r="X4" s="22"/>
      <c r="Y4" s="22"/>
      <c r="Z4" s="22"/>
      <c r="AA4" s="22"/>
      <c r="AB4" s="22"/>
      <c r="AC4" s="22"/>
      <c r="AD4" s="22"/>
      <c r="AE4" s="22"/>
    </row>
    <row r="5" ht="78" customHeight="1" spans="1:31">
      <c r="A5" s="8"/>
      <c r="B5" s="9" t="s">
        <v>513</v>
      </c>
      <c r="C5" s="10"/>
      <c r="D5" s="10"/>
      <c r="E5" s="11" t="s">
        <v>514</v>
      </c>
      <c r="G5" s="12" t="s">
        <v>488</v>
      </c>
      <c r="H5" s="13"/>
      <c r="I5" s="42"/>
      <c r="J5" s="28"/>
      <c r="K5" s="22"/>
      <c r="L5" s="22"/>
      <c r="M5" s="22"/>
      <c r="N5" s="22"/>
      <c r="O5" s="22"/>
      <c r="P5" s="22"/>
      <c r="Q5" s="22"/>
      <c r="R5" s="22"/>
      <c r="S5" s="22"/>
      <c r="T5" s="22"/>
      <c r="U5" s="22"/>
      <c r="V5" s="22"/>
      <c r="W5" s="22"/>
      <c r="X5" s="22"/>
      <c r="Y5" s="22"/>
      <c r="Z5" s="22"/>
      <c r="AA5" s="22"/>
      <c r="AB5" s="22"/>
      <c r="AC5" s="22"/>
      <c r="AD5" s="22"/>
      <c r="AE5" s="22"/>
    </row>
    <row r="6" ht="47" customHeight="1" spans="1:31">
      <c r="A6" s="14"/>
      <c r="B6" s="15" t="s">
        <v>491</v>
      </c>
      <c r="C6" s="16"/>
      <c r="D6" s="16"/>
      <c r="E6" s="17" t="s">
        <v>515</v>
      </c>
      <c r="F6" s="18"/>
      <c r="G6" s="17" t="s">
        <v>43</v>
      </c>
      <c r="H6" s="18"/>
      <c r="I6" s="43"/>
      <c r="J6" s="22"/>
      <c r="K6" s="22"/>
      <c r="L6" s="22"/>
      <c r="M6" s="22"/>
      <c r="N6" s="22"/>
      <c r="O6" s="22"/>
      <c r="P6" s="22"/>
      <c r="Q6" s="22"/>
      <c r="R6" s="22"/>
      <c r="S6" s="22"/>
      <c r="T6" s="22"/>
      <c r="U6" s="22"/>
      <c r="V6" s="22"/>
      <c r="W6" s="22"/>
      <c r="X6" s="22"/>
      <c r="Y6" s="22"/>
      <c r="Z6" s="22"/>
      <c r="AA6" s="22"/>
      <c r="AB6" s="22"/>
      <c r="AC6" s="22"/>
      <c r="AD6" s="22"/>
      <c r="AE6" s="22"/>
    </row>
    <row r="7" ht="30" customHeight="1" spans="1:31">
      <c r="A7" s="1"/>
      <c r="B7" s="19"/>
      <c r="C7" s="20"/>
      <c r="D7" s="20"/>
      <c r="E7" s="20"/>
      <c r="J7" s="40"/>
      <c r="K7" s="22"/>
      <c r="L7" s="22"/>
      <c r="M7" s="22"/>
      <c r="N7" s="22"/>
      <c r="O7" s="22"/>
      <c r="P7" s="22"/>
      <c r="Q7" s="22"/>
      <c r="R7" s="22"/>
      <c r="S7" s="22"/>
      <c r="T7" s="22"/>
      <c r="U7" s="22"/>
      <c r="V7" s="22"/>
      <c r="W7" s="22"/>
      <c r="X7" s="22"/>
      <c r="Y7" s="22"/>
      <c r="Z7" s="22"/>
      <c r="AA7" s="22"/>
      <c r="AB7" s="22"/>
      <c r="AC7" s="22"/>
      <c r="AD7" s="22"/>
      <c r="AE7" s="22"/>
    </row>
    <row r="8" ht="45" customHeight="1" spans="1:31">
      <c r="A8" s="1"/>
      <c r="B8" s="19"/>
      <c r="C8" s="21"/>
      <c r="D8" s="21"/>
      <c r="E8" s="21"/>
      <c r="F8" s="22"/>
      <c r="G8" s="22"/>
      <c r="H8" s="22"/>
      <c r="I8" s="22"/>
      <c r="J8" s="40"/>
      <c r="K8" s="44"/>
      <c r="L8" s="22"/>
      <c r="M8" s="22"/>
      <c r="N8" s="22"/>
      <c r="O8" s="22"/>
      <c r="P8" s="22"/>
      <c r="Q8" s="22"/>
      <c r="R8" s="22"/>
      <c r="S8" s="22"/>
      <c r="T8" s="22"/>
      <c r="U8" s="22"/>
      <c r="V8" s="22"/>
      <c r="W8" s="22"/>
      <c r="X8" s="22"/>
      <c r="Y8" s="22"/>
      <c r="Z8" s="22"/>
      <c r="AA8" s="22"/>
      <c r="AB8" s="22"/>
      <c r="AC8" s="22"/>
      <c r="AD8" s="22"/>
      <c r="AE8" s="22"/>
    </row>
    <row r="9" ht="33.15" spans="1:31">
      <c r="A9" s="23"/>
      <c r="B9" s="24" t="s">
        <v>493</v>
      </c>
      <c r="C9" s="25"/>
      <c r="D9" s="25"/>
      <c r="E9" s="25"/>
      <c r="F9" s="25"/>
      <c r="G9" s="25"/>
      <c r="H9" s="25"/>
      <c r="I9" s="45"/>
      <c r="J9" s="39"/>
      <c r="K9" s="46"/>
      <c r="L9" s="22"/>
      <c r="M9" s="22"/>
      <c r="N9" s="22"/>
      <c r="O9" s="22"/>
      <c r="P9" s="22"/>
      <c r="Q9" s="22"/>
      <c r="R9" s="22"/>
      <c r="S9" s="22"/>
      <c r="T9" s="22"/>
      <c r="U9" s="22"/>
      <c r="V9" s="22"/>
      <c r="W9" s="22"/>
      <c r="X9" s="22"/>
      <c r="Y9" s="22"/>
      <c r="Z9" s="22"/>
      <c r="AA9" s="22"/>
      <c r="AB9" s="22"/>
      <c r="AC9" s="22"/>
      <c r="AD9" s="22"/>
      <c r="AE9" s="22"/>
    </row>
    <row r="10" ht="15.6" spans="1:31">
      <c r="A10" s="22"/>
      <c r="B10" s="26" t="s">
        <v>495</v>
      </c>
      <c r="C10" s="27" t="s">
        <v>496</v>
      </c>
      <c r="D10" s="28"/>
      <c r="E10" s="27" t="s">
        <v>497</v>
      </c>
      <c r="F10" s="27"/>
      <c r="G10" s="27" t="s">
        <v>498</v>
      </c>
      <c r="H10" s="27"/>
      <c r="I10" s="47" t="s">
        <v>499</v>
      </c>
      <c r="J10" s="39"/>
      <c r="K10" s="48"/>
      <c r="L10" s="22"/>
      <c r="M10" s="22"/>
      <c r="N10" s="22"/>
      <c r="O10" s="22"/>
      <c r="P10" s="22"/>
      <c r="Q10" s="22"/>
      <c r="R10" s="22"/>
      <c r="S10" s="22"/>
      <c r="T10" s="22"/>
      <c r="U10" s="22"/>
      <c r="V10" s="22"/>
      <c r="W10" s="22"/>
      <c r="X10" s="22"/>
      <c r="Y10" s="22"/>
      <c r="Z10" s="22"/>
      <c r="AA10" s="22"/>
      <c r="AB10" s="22"/>
      <c r="AC10" s="22"/>
      <c r="AD10" s="22"/>
      <c r="AE10" s="22"/>
    </row>
    <row r="11" ht="33" spans="1:31">
      <c r="A11" s="22"/>
      <c r="B11" s="29"/>
      <c r="C11" s="30">
        <v>0.5</v>
      </c>
      <c r="D11" s="30" t="s">
        <v>500</v>
      </c>
      <c r="E11" s="30">
        <f>IF(B6=TRUE,1.5,1)</f>
        <v>1</v>
      </c>
      <c r="F11" s="30" t="s">
        <v>500</v>
      </c>
      <c r="G11" s="30">
        <f ca="1">INDIRECT(ADDRESS(C25+25,E25+2))</f>
        <v>0.24</v>
      </c>
      <c r="H11" s="30" t="s">
        <v>500</v>
      </c>
      <c r="I11" s="49">
        <f>IF(EXACT(G6,"ZAYIN"),7,IF(EXACT(G6,"TETH"),8,IF(EXACT(G6,"HE"),12,IF(EXACT(G6,"WAW"),16,23))))</f>
        <v>12</v>
      </c>
      <c r="J11" s="40"/>
      <c r="K11" s="48"/>
      <c r="L11" s="22"/>
      <c r="M11" s="22"/>
      <c r="N11" s="22"/>
      <c r="O11" s="22"/>
      <c r="P11" s="22"/>
      <c r="Q11" s="22"/>
      <c r="R11" s="22"/>
      <c r="S11" s="22"/>
      <c r="T11" s="22"/>
      <c r="U11" s="22"/>
      <c r="V11" s="22"/>
      <c r="W11" s="22"/>
      <c r="X11" s="22"/>
      <c r="Y11" s="22"/>
      <c r="Z11" s="22"/>
      <c r="AA11" s="22"/>
      <c r="AB11" s="22"/>
      <c r="AC11" s="22"/>
      <c r="AD11" s="22"/>
      <c r="AE11" s="22"/>
    </row>
    <row r="12" ht="50.4" spans="1:31">
      <c r="A12" s="22"/>
      <c r="B12" s="29"/>
      <c r="C12" s="31">
        <f ca="1">IF(EXACT(G11,"NaN"),"一级员工不能对ALEPH级工作",C11*E11*G11*I11)</f>
        <v>1.44</v>
      </c>
      <c r="D12" s="32"/>
      <c r="E12" s="32"/>
      <c r="F12" s="32"/>
      <c r="G12" s="32"/>
      <c r="H12" s="32"/>
      <c r="I12" s="50"/>
      <c r="J12" s="40"/>
      <c r="K12" s="48"/>
      <c r="L12" s="22"/>
      <c r="M12" s="22"/>
      <c r="N12" s="22"/>
      <c r="O12" s="22"/>
      <c r="P12" s="22"/>
      <c r="Q12" s="22"/>
      <c r="R12" s="22"/>
      <c r="S12" s="22"/>
      <c r="T12" s="22"/>
      <c r="U12" s="22"/>
      <c r="V12" s="22"/>
      <c r="W12" s="22"/>
      <c r="X12" s="22"/>
      <c r="Y12" s="22"/>
      <c r="Z12" s="22"/>
      <c r="AA12" s="22"/>
      <c r="AB12" s="22"/>
      <c r="AC12" s="22"/>
      <c r="AD12" s="22"/>
      <c r="AE12" s="22"/>
    </row>
    <row r="13" ht="33.75" spans="1:31">
      <c r="A13" s="22"/>
      <c r="B13" s="33"/>
      <c r="C13" s="34" t="s">
        <v>501</v>
      </c>
      <c r="D13" s="35">
        <v>20</v>
      </c>
      <c r="E13" s="35" t="s">
        <v>502</v>
      </c>
      <c r="F13" s="36">
        <f ca="1">D13/C12</f>
        <v>13.8888888888889</v>
      </c>
      <c r="G13" s="37" t="s">
        <v>503</v>
      </c>
      <c r="H13" s="38"/>
      <c r="I13" s="51"/>
      <c r="J13" s="40"/>
      <c r="K13" s="22"/>
      <c r="L13" s="22"/>
      <c r="M13" s="22"/>
      <c r="N13" s="22"/>
      <c r="O13" s="22"/>
      <c r="P13" s="22"/>
      <c r="Q13" s="22"/>
      <c r="R13" s="22"/>
      <c r="S13" s="22"/>
      <c r="T13" s="22"/>
      <c r="U13" s="22"/>
      <c r="V13" s="22"/>
      <c r="W13" s="22"/>
      <c r="X13" s="22"/>
      <c r="Y13" s="22"/>
      <c r="Z13" s="22"/>
      <c r="AA13" s="22"/>
      <c r="AB13" s="22"/>
      <c r="AC13" s="22"/>
      <c r="AD13" s="22"/>
      <c r="AE13" s="22"/>
    </row>
    <row r="14" ht="13.95" spans="1:31">
      <c r="A14" s="22"/>
      <c r="B14" s="22"/>
      <c r="C14" s="22"/>
      <c r="D14" s="23"/>
      <c r="E14" s="23"/>
      <c r="F14" s="23"/>
      <c r="G14" s="22"/>
      <c r="H14" s="22"/>
      <c r="I14" s="22"/>
      <c r="J14" s="40"/>
      <c r="K14" s="22"/>
      <c r="L14" s="22"/>
      <c r="M14" s="22"/>
      <c r="N14" s="22"/>
      <c r="O14" s="22"/>
      <c r="P14" s="22"/>
      <c r="Q14" s="22"/>
      <c r="R14" s="22"/>
      <c r="S14" s="22"/>
      <c r="T14" s="22"/>
      <c r="U14" s="22"/>
      <c r="V14" s="22"/>
      <c r="W14" s="22"/>
      <c r="X14" s="22"/>
      <c r="Y14" s="22"/>
      <c r="Z14" s="22"/>
      <c r="AA14" s="22"/>
      <c r="AB14" s="22"/>
      <c r="AC14" s="22"/>
      <c r="AD14" s="22"/>
      <c r="AE14" s="22"/>
    </row>
    <row r="15" spans="1:31">
      <c r="A15" s="22"/>
      <c r="B15" s="22"/>
      <c r="C15" s="22"/>
      <c r="D15" s="22"/>
      <c r="E15" s="22"/>
      <c r="F15" s="22"/>
      <c r="G15" s="22"/>
      <c r="H15" s="22"/>
      <c r="I15" s="22"/>
      <c r="J15" s="40"/>
      <c r="K15" s="22"/>
      <c r="L15" s="22"/>
      <c r="M15" s="22"/>
      <c r="N15" s="22"/>
      <c r="O15" s="22"/>
      <c r="P15" s="22"/>
      <c r="Q15" s="22"/>
      <c r="R15" s="22"/>
      <c r="S15" s="22"/>
      <c r="T15" s="22"/>
      <c r="U15" s="22"/>
      <c r="V15" s="22"/>
      <c r="W15" s="22"/>
      <c r="X15" s="22"/>
      <c r="Y15" s="22"/>
      <c r="Z15" s="22"/>
      <c r="AA15" s="22"/>
      <c r="AB15" s="22"/>
      <c r="AC15" s="22"/>
      <c r="AD15" s="22"/>
      <c r="AE15" s="22"/>
    </row>
    <row r="16" spans="1:31">
      <c r="A16" s="22"/>
      <c r="B16" s="22"/>
      <c r="C16" s="22"/>
      <c r="D16" s="22"/>
      <c r="E16" s="22"/>
      <c r="F16" s="22"/>
      <c r="G16" s="22"/>
      <c r="H16" s="22"/>
      <c r="I16" s="22"/>
      <c r="J16" s="40"/>
      <c r="K16" s="22"/>
      <c r="L16" s="22"/>
      <c r="M16" s="22"/>
      <c r="N16" s="22"/>
      <c r="O16" s="22"/>
      <c r="P16" s="22"/>
      <c r="Q16" s="22"/>
      <c r="R16" s="22"/>
      <c r="S16" s="22"/>
      <c r="T16" s="22"/>
      <c r="U16" s="22"/>
      <c r="V16" s="22"/>
      <c r="W16" s="22"/>
      <c r="X16" s="22"/>
      <c r="Y16" s="22"/>
      <c r="Z16" s="22"/>
      <c r="AA16" s="22"/>
      <c r="AB16" s="22"/>
      <c r="AC16" s="22"/>
      <c r="AD16" s="22"/>
      <c r="AE16" s="22"/>
    </row>
    <row r="17" spans="1:31">
      <c r="A17" s="22"/>
      <c r="B17" s="22"/>
      <c r="C17" s="22"/>
      <c r="D17" s="22"/>
      <c r="E17" s="22"/>
      <c r="F17" s="22"/>
      <c r="G17" s="22"/>
      <c r="H17" s="22"/>
      <c r="I17" s="22"/>
      <c r="J17" s="40"/>
      <c r="K17" s="22"/>
      <c r="L17" s="22"/>
      <c r="M17" s="22"/>
      <c r="N17" s="22"/>
      <c r="O17" s="22"/>
      <c r="P17" s="22"/>
      <c r="Q17" s="22"/>
      <c r="R17" s="22"/>
      <c r="S17" s="22"/>
      <c r="T17" s="22"/>
      <c r="U17" s="22"/>
      <c r="V17" s="22"/>
      <c r="W17" s="22"/>
      <c r="X17" s="22"/>
      <c r="Y17" s="22"/>
      <c r="Z17" s="22"/>
      <c r="AA17" s="22"/>
      <c r="AB17" s="22"/>
      <c r="AC17" s="22"/>
      <c r="AD17" s="22"/>
      <c r="AE17" s="22"/>
    </row>
    <row r="18" spans="1:31">
      <c r="A18" s="22"/>
      <c r="B18" s="22"/>
      <c r="C18" s="22"/>
      <c r="D18" s="22"/>
      <c r="E18" s="22"/>
      <c r="F18" s="22"/>
      <c r="G18" s="22"/>
      <c r="H18" s="22"/>
      <c r="I18" s="22"/>
      <c r="J18" s="40"/>
      <c r="K18" s="22"/>
      <c r="L18" s="22"/>
      <c r="M18" s="22"/>
      <c r="N18" s="22"/>
      <c r="O18" s="22"/>
      <c r="P18" s="22"/>
      <c r="Q18" s="22"/>
      <c r="R18" s="22"/>
      <c r="S18" s="22"/>
      <c r="T18" s="22"/>
      <c r="U18" s="22"/>
      <c r="V18" s="22"/>
      <c r="W18" s="22"/>
      <c r="X18" s="22"/>
      <c r="Y18" s="22"/>
      <c r="Z18" s="22"/>
      <c r="AA18" s="22"/>
      <c r="AB18" s="22"/>
      <c r="AC18" s="22"/>
      <c r="AD18" s="22"/>
      <c r="AE18" s="22"/>
    </row>
    <row r="19" spans="1:31">
      <c r="A19" s="22"/>
      <c r="B19" s="22"/>
      <c r="C19" s="22"/>
      <c r="D19" s="22"/>
      <c r="E19" s="22"/>
      <c r="F19" s="22"/>
      <c r="G19" s="22"/>
      <c r="H19" s="22"/>
      <c r="I19" s="22"/>
      <c r="J19" s="40"/>
      <c r="K19" s="22"/>
      <c r="L19" s="22"/>
      <c r="M19" s="22"/>
      <c r="N19" s="22"/>
      <c r="O19" s="22"/>
      <c r="P19" s="22"/>
      <c r="Q19" s="22"/>
      <c r="R19" s="22"/>
      <c r="S19" s="22"/>
      <c r="T19" s="22"/>
      <c r="U19" s="22"/>
      <c r="V19" s="22"/>
      <c r="W19" s="22"/>
      <c r="X19" s="22"/>
      <c r="Y19" s="22"/>
      <c r="Z19" s="22"/>
      <c r="AA19" s="22"/>
      <c r="AB19" s="22"/>
      <c r="AC19" s="22"/>
      <c r="AD19" s="22"/>
      <c r="AE19" s="22"/>
    </row>
    <row r="20" spans="1:31">
      <c r="A20" s="22"/>
      <c r="B20" s="22"/>
      <c r="C20" s="22"/>
      <c r="D20" s="22"/>
      <c r="E20" s="22"/>
      <c r="F20" s="22"/>
      <c r="G20" s="22"/>
      <c r="H20" s="22"/>
      <c r="I20" s="22"/>
      <c r="J20" s="40"/>
      <c r="K20" s="22"/>
      <c r="L20" s="22"/>
      <c r="M20" s="22"/>
      <c r="N20" s="22"/>
      <c r="O20" s="22"/>
      <c r="P20" s="22"/>
      <c r="Q20" s="22"/>
      <c r="R20" s="22"/>
      <c r="S20" s="22"/>
      <c r="T20" s="22"/>
      <c r="U20" s="22"/>
      <c r="V20" s="22"/>
      <c r="W20" s="22"/>
      <c r="X20" s="22"/>
      <c r="Y20" s="22"/>
      <c r="Z20" s="22"/>
      <c r="AA20" s="22"/>
      <c r="AB20" s="22"/>
      <c r="AC20" s="22"/>
      <c r="AD20" s="22"/>
      <c r="AE20" s="22"/>
    </row>
    <row r="21" spans="1:3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row>
    <row r="22" spans="1:3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row>
    <row r="23" spans="1:3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row>
    <row r="24" spans="1:3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row>
    <row r="25" spans="1:31">
      <c r="A25" s="22"/>
      <c r="B25" s="22"/>
      <c r="C25" s="22">
        <f>IF(EXACT(E6,"Ⅰ"),1,IF(EXACT(E6,"Ⅱ"),2,IF(EXACT(E6,"Ⅲ"),3,IF(EXACT(E6,"Ⅳ"),4,5))))</f>
        <v>5</v>
      </c>
      <c r="D25" s="22"/>
      <c r="E25" s="22">
        <f>IF(EXACT(G6,"ZAYIN"),1,IF(EXACT(G6,"TETH"),2,IF(EXACT(G6,"HE"),3,IF(EXACT(G6,"WAW"),4,5))))</f>
        <v>3</v>
      </c>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row>
    <row r="26" spans="1:31">
      <c r="A26" s="22"/>
      <c r="B26" s="22"/>
      <c r="C26" s="22">
        <v>0.6</v>
      </c>
      <c r="D26" s="22">
        <v>0.6</v>
      </c>
      <c r="E26" s="22">
        <v>0.72</v>
      </c>
      <c r="F26" s="22">
        <v>0.84</v>
      </c>
      <c r="G26" s="39">
        <v>0.6</v>
      </c>
      <c r="H26" s="22"/>
      <c r="I26" s="22"/>
      <c r="J26" s="40"/>
      <c r="K26" s="22"/>
      <c r="L26" s="22"/>
      <c r="M26" s="22"/>
      <c r="N26" s="22"/>
      <c r="O26" s="22"/>
      <c r="P26" s="22"/>
      <c r="Q26" s="22"/>
      <c r="R26" s="22"/>
      <c r="S26" s="22"/>
      <c r="T26" s="22"/>
      <c r="U26" s="22"/>
      <c r="V26" s="22"/>
      <c r="W26" s="22"/>
      <c r="X26" s="22"/>
      <c r="Y26" s="22"/>
      <c r="Z26" s="22"/>
      <c r="AA26" s="22"/>
      <c r="AB26" s="22"/>
      <c r="AC26" s="22"/>
      <c r="AD26" s="22"/>
      <c r="AE26" s="22"/>
    </row>
    <row r="27" spans="1:31">
      <c r="A27" s="22"/>
      <c r="B27" s="22"/>
      <c r="C27" s="22">
        <v>0.44</v>
      </c>
      <c r="D27" s="22">
        <v>0.55</v>
      </c>
      <c r="E27" s="22">
        <v>0.55</v>
      </c>
      <c r="F27" s="22">
        <v>0.66</v>
      </c>
      <c r="G27" s="40">
        <v>0.77</v>
      </c>
      <c r="H27" s="22"/>
      <c r="I27" s="22"/>
      <c r="J27" s="40"/>
      <c r="K27" s="22"/>
      <c r="L27" s="22"/>
      <c r="M27" s="22"/>
      <c r="N27" s="22"/>
      <c r="O27" s="22"/>
      <c r="P27" s="22"/>
      <c r="Q27" s="22"/>
      <c r="R27" s="22"/>
      <c r="S27" s="22"/>
      <c r="T27" s="22"/>
      <c r="U27" s="22"/>
      <c r="V27" s="22"/>
      <c r="W27" s="22"/>
      <c r="X27" s="22"/>
      <c r="Y27" s="22"/>
      <c r="Z27" s="22"/>
      <c r="AA27" s="22"/>
      <c r="AB27" s="22"/>
      <c r="AC27" s="22"/>
      <c r="AD27" s="22"/>
      <c r="AE27" s="22"/>
    </row>
    <row r="28" spans="1:31">
      <c r="A28" s="22"/>
      <c r="B28" s="22"/>
      <c r="C28" s="22">
        <v>0.3</v>
      </c>
      <c r="D28" s="22">
        <v>0.4</v>
      </c>
      <c r="E28" s="22">
        <v>0.5</v>
      </c>
      <c r="F28" s="22">
        <v>0.5</v>
      </c>
      <c r="G28" s="40">
        <v>0.6</v>
      </c>
      <c r="H28" s="22"/>
      <c r="I28" s="22"/>
      <c r="J28" s="40"/>
      <c r="K28" s="22"/>
      <c r="L28" s="22"/>
      <c r="M28" s="22"/>
      <c r="N28" s="22"/>
      <c r="O28" s="22"/>
      <c r="P28" s="22"/>
      <c r="Q28" s="22"/>
      <c r="R28" s="22"/>
      <c r="S28" s="22"/>
      <c r="T28" s="22"/>
      <c r="U28" s="22"/>
      <c r="V28" s="22"/>
      <c r="W28" s="22"/>
      <c r="X28" s="22"/>
      <c r="Y28" s="22"/>
      <c r="Z28" s="22"/>
      <c r="AA28" s="22"/>
      <c r="AB28" s="22"/>
      <c r="AC28" s="22"/>
      <c r="AD28" s="22"/>
      <c r="AE28" s="22"/>
    </row>
    <row r="29" spans="1:31">
      <c r="A29" s="22"/>
      <c r="B29" s="22"/>
      <c r="C29" s="22">
        <v>0.18</v>
      </c>
      <c r="D29" s="22">
        <v>0.27</v>
      </c>
      <c r="E29" s="22">
        <v>0.36</v>
      </c>
      <c r="F29" s="22">
        <v>0.45</v>
      </c>
      <c r="G29" s="40">
        <v>0.45</v>
      </c>
      <c r="H29" s="22"/>
      <c r="I29" s="22"/>
      <c r="J29" s="40"/>
      <c r="K29" s="22"/>
      <c r="L29" s="22"/>
      <c r="M29" s="22"/>
      <c r="N29" s="22"/>
      <c r="O29" s="22"/>
      <c r="P29" s="22"/>
      <c r="Q29" s="22"/>
      <c r="R29" s="22"/>
      <c r="S29" s="22"/>
      <c r="T29" s="22"/>
      <c r="U29" s="22"/>
      <c r="V29" s="22"/>
      <c r="W29" s="22"/>
      <c r="X29" s="22"/>
      <c r="Y29" s="22"/>
      <c r="Z29" s="22"/>
      <c r="AA29" s="22"/>
      <c r="AB29" s="22"/>
      <c r="AC29" s="22"/>
      <c r="AD29" s="22"/>
      <c r="AE29" s="22"/>
    </row>
    <row r="30" spans="1:31">
      <c r="A30" s="22"/>
      <c r="B30" s="22"/>
      <c r="C30" s="22">
        <v>0.08</v>
      </c>
      <c r="D30" s="22">
        <v>0.16</v>
      </c>
      <c r="E30" s="22">
        <v>0.24</v>
      </c>
      <c r="F30" s="22">
        <v>0.32</v>
      </c>
      <c r="G30" s="40">
        <v>0.4</v>
      </c>
      <c r="H30" s="22"/>
      <c r="I30" s="22"/>
      <c r="J30" s="40"/>
      <c r="K30" s="22"/>
      <c r="L30" s="22"/>
      <c r="M30" s="22"/>
      <c r="N30" s="22"/>
      <c r="O30" s="22"/>
      <c r="P30" s="22"/>
      <c r="Q30" s="22"/>
      <c r="R30" s="22"/>
      <c r="S30" s="22"/>
      <c r="T30" s="22"/>
      <c r="U30" s="22"/>
      <c r="V30" s="22"/>
      <c r="W30" s="22"/>
      <c r="X30" s="22"/>
      <c r="Y30" s="22"/>
      <c r="Z30" s="22"/>
      <c r="AA30" s="22"/>
      <c r="AB30" s="22"/>
      <c r="AC30" s="22"/>
      <c r="AD30" s="22"/>
      <c r="AE30" s="22"/>
    </row>
    <row r="31" spans="1:31">
      <c r="A31" s="22"/>
      <c r="B31" s="22"/>
      <c r="C31" s="22"/>
      <c r="D31" s="22"/>
      <c r="E31" s="22"/>
      <c r="F31" s="22"/>
      <c r="G31" s="22"/>
      <c r="H31" s="22"/>
      <c r="I31" s="22"/>
      <c r="J31" s="40"/>
      <c r="K31" s="22"/>
      <c r="L31" s="22"/>
      <c r="M31" s="22"/>
      <c r="N31" s="22"/>
      <c r="O31" s="22"/>
      <c r="P31" s="22"/>
      <c r="Q31" s="22"/>
      <c r="R31" s="22"/>
      <c r="S31" s="22"/>
      <c r="T31" s="22"/>
      <c r="U31" s="22"/>
      <c r="V31" s="22"/>
      <c r="W31" s="22"/>
      <c r="X31" s="22"/>
      <c r="Y31" s="22"/>
      <c r="Z31" s="22"/>
      <c r="AA31" s="22"/>
      <c r="AB31" s="22"/>
      <c r="AC31" s="22"/>
      <c r="AD31" s="22"/>
      <c r="AE31" s="22"/>
    </row>
    <row r="32" spans="1:31">
      <c r="A32" s="22"/>
      <c r="B32" s="22"/>
      <c r="C32" s="22"/>
      <c r="D32" s="22"/>
      <c r="E32" s="22"/>
      <c r="F32" s="22"/>
      <c r="G32" s="22"/>
      <c r="H32" s="22"/>
      <c r="I32" s="22"/>
      <c r="J32" s="40"/>
      <c r="K32" s="22"/>
      <c r="L32" s="22"/>
      <c r="M32" s="22"/>
      <c r="N32" s="22"/>
      <c r="O32" s="22"/>
      <c r="P32" s="22"/>
      <c r="Q32" s="22"/>
      <c r="R32" s="22"/>
      <c r="S32" s="22"/>
      <c r="T32" s="22"/>
      <c r="U32" s="22"/>
      <c r="V32" s="22"/>
      <c r="W32" s="22"/>
      <c r="X32" s="22"/>
      <c r="Y32" s="22"/>
      <c r="Z32" s="22"/>
      <c r="AA32" s="22"/>
      <c r="AB32" s="22"/>
      <c r="AC32" s="22"/>
      <c r="AD32" s="22"/>
      <c r="AE32" s="22"/>
    </row>
    <row r="33" spans="1:31">
      <c r="A33" s="22"/>
      <c r="B33" s="22"/>
      <c r="C33" s="22"/>
      <c r="D33" s="22"/>
      <c r="E33" s="22"/>
      <c r="F33" s="22"/>
      <c r="G33" s="22"/>
      <c r="H33" s="22"/>
      <c r="I33" s="22"/>
      <c r="J33" s="40"/>
      <c r="K33" s="22"/>
      <c r="L33" s="22"/>
      <c r="M33" s="22"/>
      <c r="N33" s="22"/>
      <c r="O33" s="22"/>
      <c r="P33" s="22"/>
      <c r="Q33" s="22"/>
      <c r="R33" s="22"/>
      <c r="S33" s="22"/>
      <c r="T33" s="22"/>
      <c r="U33" s="22"/>
      <c r="V33" s="22"/>
      <c r="W33" s="22"/>
      <c r="X33" s="22"/>
      <c r="Y33" s="22"/>
      <c r="Z33" s="22"/>
      <c r="AA33" s="22"/>
      <c r="AB33" s="22"/>
      <c r="AC33" s="22"/>
      <c r="AD33" s="22"/>
      <c r="AE33" s="22"/>
    </row>
    <row r="34" spans="1:31">
      <c r="A34" s="22"/>
      <c r="B34" s="22"/>
      <c r="C34" s="22"/>
      <c r="D34" s="22"/>
      <c r="E34" s="22"/>
      <c r="F34" s="22"/>
      <c r="G34" s="22"/>
      <c r="H34" s="22"/>
      <c r="I34" s="22"/>
      <c r="J34" s="40"/>
      <c r="K34" s="22"/>
      <c r="L34" s="22"/>
      <c r="M34" s="22"/>
      <c r="N34" s="22"/>
      <c r="O34" s="22"/>
      <c r="P34" s="22"/>
      <c r="Q34" s="22"/>
      <c r="R34" s="22"/>
      <c r="S34" s="22"/>
      <c r="T34" s="22"/>
      <c r="U34" s="22"/>
      <c r="V34" s="22"/>
      <c r="W34" s="22"/>
      <c r="X34" s="22"/>
      <c r="Y34" s="22"/>
      <c r="Z34" s="22"/>
      <c r="AA34" s="22"/>
      <c r="AB34" s="22"/>
      <c r="AC34" s="22"/>
      <c r="AD34" s="22"/>
      <c r="AE34" s="22"/>
    </row>
    <row r="35" spans="1:31">
      <c r="A35" s="22"/>
      <c r="B35" s="22"/>
      <c r="C35" s="22"/>
      <c r="D35" s="22"/>
      <c r="E35" s="22"/>
      <c r="F35" s="22"/>
      <c r="G35" s="22"/>
      <c r="H35" s="22"/>
      <c r="I35" s="22"/>
      <c r="J35" s="40"/>
      <c r="K35" s="22"/>
      <c r="L35" s="22"/>
      <c r="M35" s="22"/>
      <c r="N35" s="22"/>
      <c r="O35" s="22"/>
      <c r="P35" s="22"/>
      <c r="Q35" s="22"/>
      <c r="R35" s="22"/>
      <c r="S35" s="22"/>
      <c r="T35" s="22"/>
      <c r="U35" s="22"/>
      <c r="V35" s="22"/>
      <c r="W35" s="22"/>
      <c r="X35" s="22"/>
      <c r="Y35" s="22"/>
      <c r="Z35" s="22"/>
      <c r="AA35" s="22"/>
      <c r="AB35" s="22"/>
      <c r="AC35" s="22"/>
      <c r="AD35" s="22"/>
      <c r="AE35" s="22"/>
    </row>
    <row r="36" spans="1:31">
      <c r="A36" s="22"/>
      <c r="B36" s="22"/>
      <c r="C36" s="22"/>
      <c r="D36" s="22"/>
      <c r="E36" s="22"/>
      <c r="F36" s="22"/>
      <c r="G36" s="22"/>
      <c r="H36" s="22"/>
      <c r="I36" s="22"/>
      <c r="J36" s="40"/>
      <c r="K36" s="22"/>
      <c r="L36" s="22"/>
      <c r="M36" s="22"/>
      <c r="N36" s="22"/>
      <c r="O36" s="22"/>
      <c r="P36" s="22"/>
      <c r="Q36" s="22"/>
      <c r="R36" s="22"/>
      <c r="S36" s="22"/>
      <c r="T36" s="22"/>
      <c r="U36" s="22"/>
      <c r="V36" s="22"/>
      <c r="W36" s="22"/>
      <c r="X36" s="22"/>
      <c r="Y36" s="22"/>
      <c r="Z36" s="22"/>
      <c r="AA36" s="22"/>
      <c r="AB36" s="22"/>
      <c r="AC36" s="22"/>
      <c r="AD36" s="22"/>
      <c r="AE36" s="22"/>
    </row>
    <row r="37" spans="1:31">
      <c r="A37" s="22"/>
      <c r="B37" s="22"/>
      <c r="C37" s="22"/>
      <c r="D37" s="22"/>
      <c r="E37" s="22"/>
      <c r="F37" s="22"/>
      <c r="G37" s="22"/>
      <c r="H37" s="22"/>
      <c r="I37" s="22"/>
      <c r="J37" s="40"/>
      <c r="K37" s="22"/>
      <c r="L37" s="22"/>
      <c r="M37" s="22"/>
      <c r="N37" s="22"/>
      <c r="O37" s="22"/>
      <c r="P37" s="22"/>
      <c r="Q37" s="22"/>
      <c r="R37" s="22"/>
      <c r="S37" s="22"/>
      <c r="T37" s="22"/>
      <c r="U37" s="22"/>
      <c r="V37" s="22"/>
      <c r="W37" s="22"/>
      <c r="X37" s="22"/>
      <c r="Y37" s="22"/>
      <c r="Z37" s="22"/>
      <c r="AA37" s="22"/>
      <c r="AB37" s="22"/>
      <c r="AC37" s="22"/>
      <c r="AD37" s="22"/>
      <c r="AE37" s="22"/>
    </row>
    <row r="38" spans="1:31">
      <c r="A38" s="22"/>
      <c r="B38" s="22"/>
      <c r="C38" s="22"/>
      <c r="D38" s="22"/>
      <c r="E38" s="22"/>
      <c r="F38" s="22"/>
      <c r="G38" s="22"/>
      <c r="H38" s="22"/>
      <c r="I38" s="22"/>
      <c r="J38" s="40"/>
      <c r="K38" s="22"/>
      <c r="L38" s="22"/>
      <c r="M38" s="22"/>
      <c r="N38" s="22"/>
      <c r="O38" s="22"/>
      <c r="P38" s="22"/>
      <c r="Q38" s="22"/>
      <c r="R38" s="22"/>
      <c r="S38" s="22"/>
      <c r="T38" s="22"/>
      <c r="U38" s="22"/>
      <c r="V38" s="22"/>
      <c r="W38" s="22"/>
      <c r="X38" s="22"/>
      <c r="Y38" s="22"/>
      <c r="Z38" s="22"/>
      <c r="AA38" s="22"/>
      <c r="AB38" s="22"/>
      <c r="AC38" s="22"/>
      <c r="AD38" s="22"/>
      <c r="AE38" s="22"/>
    </row>
    <row r="39" spans="1:31">
      <c r="A39" s="22"/>
      <c r="B39" s="22"/>
      <c r="C39" s="22"/>
      <c r="D39" s="22"/>
      <c r="E39" s="22"/>
      <c r="F39" s="22"/>
      <c r="G39" s="22"/>
      <c r="H39" s="22"/>
      <c r="I39" s="22"/>
      <c r="J39" s="40"/>
      <c r="K39" s="22"/>
      <c r="L39" s="22"/>
      <c r="M39" s="22"/>
      <c r="N39" s="22"/>
      <c r="O39" s="22"/>
      <c r="P39" s="22"/>
      <c r="Q39" s="22"/>
      <c r="R39" s="22"/>
      <c r="S39" s="22"/>
      <c r="T39" s="22"/>
      <c r="U39" s="22"/>
      <c r="V39" s="22"/>
      <c r="W39" s="22"/>
      <c r="X39" s="22"/>
      <c r="Y39" s="22"/>
      <c r="Z39" s="22"/>
      <c r="AA39" s="22"/>
      <c r="AB39" s="22"/>
      <c r="AC39" s="22"/>
      <c r="AD39" s="22"/>
      <c r="AE39" s="22"/>
    </row>
    <row r="40" spans="1:31">
      <c r="A40" s="22"/>
      <c r="B40" s="22"/>
      <c r="C40" s="22"/>
      <c r="D40" s="22"/>
      <c r="E40" s="22"/>
      <c r="F40" s="22"/>
      <c r="G40" s="22"/>
      <c r="H40" s="22"/>
      <c r="I40" s="22"/>
      <c r="J40" s="40"/>
      <c r="K40" s="22"/>
      <c r="L40" s="22"/>
      <c r="M40" s="22"/>
      <c r="N40" s="22"/>
      <c r="O40" s="22"/>
      <c r="P40" s="22"/>
      <c r="Q40" s="22"/>
      <c r="R40" s="22"/>
      <c r="S40" s="22"/>
      <c r="T40" s="22"/>
      <c r="U40" s="22"/>
      <c r="V40" s="22"/>
      <c r="W40" s="22"/>
      <c r="X40" s="22"/>
      <c r="Y40" s="22"/>
      <c r="Z40" s="22"/>
      <c r="AA40" s="22"/>
      <c r="AB40" s="22"/>
      <c r="AC40" s="22"/>
      <c r="AD40" s="22"/>
      <c r="AE40" s="22"/>
    </row>
    <row r="41" spans="1:31">
      <c r="A41" s="22"/>
      <c r="B41" s="22"/>
      <c r="C41" s="22"/>
      <c r="D41" s="22"/>
      <c r="E41" s="22"/>
      <c r="F41" s="22"/>
      <c r="G41" s="22"/>
      <c r="H41" s="22"/>
      <c r="I41" s="22"/>
      <c r="J41" s="40"/>
      <c r="K41" s="22"/>
      <c r="L41" s="22"/>
      <c r="M41" s="22"/>
      <c r="N41" s="22"/>
      <c r="O41" s="22"/>
      <c r="P41" s="22"/>
      <c r="Q41" s="22"/>
      <c r="R41" s="22"/>
      <c r="S41" s="22"/>
      <c r="T41" s="22"/>
      <c r="U41" s="22"/>
      <c r="V41" s="22"/>
      <c r="W41" s="22"/>
      <c r="X41" s="22"/>
      <c r="Y41" s="22"/>
      <c r="Z41" s="22"/>
      <c r="AA41" s="22"/>
      <c r="AB41" s="22"/>
      <c r="AC41" s="22"/>
      <c r="AD41" s="22"/>
      <c r="AE41" s="22"/>
    </row>
    <row r="42" spans="1:31">
      <c r="A42" s="22"/>
      <c r="B42" s="22"/>
      <c r="C42" s="22"/>
      <c r="D42" s="22"/>
      <c r="E42" s="22"/>
      <c r="F42" s="22"/>
      <c r="G42" s="22"/>
      <c r="H42" s="22"/>
      <c r="I42" s="22"/>
      <c r="J42" s="40"/>
      <c r="K42" s="22"/>
      <c r="L42" s="22"/>
      <c r="M42" s="22"/>
      <c r="N42" s="22"/>
      <c r="O42" s="22"/>
      <c r="P42" s="22"/>
      <c r="Q42" s="22"/>
      <c r="R42" s="22"/>
      <c r="S42" s="22"/>
      <c r="T42" s="22"/>
      <c r="U42" s="22"/>
      <c r="V42" s="22"/>
      <c r="W42" s="22"/>
      <c r="X42" s="22"/>
      <c r="Y42" s="22"/>
      <c r="Z42" s="22"/>
      <c r="AA42" s="22"/>
      <c r="AB42" s="22"/>
      <c r="AC42" s="22"/>
      <c r="AD42" s="22"/>
      <c r="AE42" s="22"/>
    </row>
    <row r="43" spans="1:31">
      <c r="A43" s="22"/>
      <c r="B43" s="22"/>
      <c r="C43" s="22"/>
      <c r="D43" s="22"/>
      <c r="E43" s="22"/>
      <c r="F43" s="22"/>
      <c r="G43" s="22"/>
      <c r="H43" s="22"/>
      <c r="I43" s="22"/>
      <c r="J43" s="40"/>
      <c r="K43" s="22"/>
      <c r="L43" s="22"/>
      <c r="M43" s="22"/>
      <c r="N43" s="22"/>
      <c r="O43" s="22"/>
      <c r="P43" s="22"/>
      <c r="Q43" s="22"/>
      <c r="R43" s="22"/>
      <c r="S43" s="22"/>
      <c r="T43" s="22"/>
      <c r="U43" s="22"/>
      <c r="V43" s="22"/>
      <c r="W43" s="22"/>
      <c r="X43" s="22"/>
      <c r="Y43" s="22"/>
      <c r="Z43" s="22"/>
      <c r="AA43" s="22"/>
      <c r="AB43" s="22"/>
      <c r="AC43" s="22"/>
      <c r="AD43" s="22"/>
      <c r="AE43" s="22"/>
    </row>
    <row r="44" spans="1:31">
      <c r="A44" s="22"/>
      <c r="B44" s="22"/>
      <c r="C44" s="22"/>
      <c r="D44" s="22"/>
      <c r="E44" s="22"/>
      <c r="F44" s="22"/>
      <c r="G44" s="22"/>
      <c r="H44" s="22"/>
      <c r="I44" s="22"/>
      <c r="J44" s="40"/>
      <c r="K44" s="22"/>
      <c r="L44" s="22"/>
      <c r="M44" s="22"/>
      <c r="N44" s="22"/>
      <c r="O44" s="22"/>
      <c r="P44" s="22"/>
      <c r="Q44" s="22"/>
      <c r="R44" s="22"/>
      <c r="S44" s="22"/>
      <c r="T44" s="22"/>
      <c r="U44" s="22"/>
      <c r="V44" s="22"/>
      <c r="W44" s="22"/>
      <c r="X44" s="22"/>
      <c r="Y44" s="22"/>
      <c r="Z44" s="22"/>
      <c r="AA44" s="22"/>
      <c r="AB44" s="22"/>
      <c r="AC44" s="22"/>
      <c r="AD44" s="22"/>
      <c r="AE44" s="22"/>
    </row>
    <row r="45" spans="1:31">
      <c r="A45" s="22"/>
      <c r="B45" s="22"/>
      <c r="C45" s="22"/>
      <c r="D45" s="22"/>
      <c r="E45" s="22"/>
      <c r="F45" s="22"/>
      <c r="G45" s="22"/>
      <c r="H45" s="22"/>
      <c r="I45" s="22"/>
      <c r="J45" s="40"/>
      <c r="K45" s="22"/>
      <c r="L45" s="22"/>
      <c r="M45" s="22"/>
      <c r="N45" s="22"/>
      <c r="O45" s="22"/>
      <c r="P45" s="22"/>
      <c r="Q45" s="22"/>
      <c r="R45" s="22"/>
      <c r="S45" s="22"/>
      <c r="T45" s="22"/>
      <c r="U45" s="22"/>
      <c r="V45" s="22"/>
      <c r="W45" s="22"/>
      <c r="X45" s="22"/>
      <c r="Y45" s="22"/>
      <c r="Z45" s="22"/>
      <c r="AA45" s="22"/>
      <c r="AB45" s="22"/>
      <c r="AC45" s="22"/>
      <c r="AD45" s="22"/>
      <c r="AE45" s="22"/>
    </row>
    <row r="46" spans="1:31">
      <c r="A46" s="22"/>
      <c r="B46" s="22"/>
      <c r="C46" s="22"/>
      <c r="D46" s="22"/>
      <c r="E46" s="22"/>
      <c r="F46" s="22"/>
      <c r="G46" s="22"/>
      <c r="H46" s="22"/>
      <c r="I46" s="22"/>
      <c r="J46" s="40"/>
      <c r="K46" s="22"/>
      <c r="L46" s="22"/>
      <c r="M46" s="22"/>
      <c r="N46" s="22"/>
      <c r="O46" s="22"/>
      <c r="P46" s="22"/>
      <c r="Q46" s="22"/>
      <c r="R46" s="22"/>
      <c r="S46" s="22"/>
      <c r="T46" s="22"/>
      <c r="U46" s="22"/>
      <c r="V46" s="22"/>
      <c r="W46" s="22"/>
      <c r="X46" s="22"/>
      <c r="Y46" s="22"/>
      <c r="Z46" s="22"/>
      <c r="AA46" s="22"/>
      <c r="AB46" s="22"/>
      <c r="AC46" s="22"/>
      <c r="AD46" s="22"/>
      <c r="AE46" s="22"/>
    </row>
    <row r="47" spans="1:31">
      <c r="A47" s="22"/>
      <c r="B47" s="22"/>
      <c r="C47" s="22"/>
      <c r="D47" s="22"/>
      <c r="E47" s="22"/>
      <c r="F47" s="22"/>
      <c r="G47" s="22"/>
      <c r="H47" s="22"/>
      <c r="I47" s="22"/>
      <c r="J47" s="40"/>
      <c r="K47" s="22"/>
      <c r="L47" s="22"/>
      <c r="M47" s="22"/>
      <c r="N47" s="22"/>
      <c r="O47" s="22"/>
      <c r="P47" s="22"/>
      <c r="Q47" s="22"/>
      <c r="R47" s="22"/>
      <c r="S47" s="22"/>
      <c r="T47" s="22"/>
      <c r="U47" s="22"/>
      <c r="V47" s="22"/>
      <c r="W47" s="22"/>
      <c r="X47" s="22"/>
      <c r="Y47" s="22"/>
      <c r="Z47" s="22"/>
      <c r="AA47" s="22"/>
      <c r="AB47" s="22"/>
      <c r="AC47" s="22"/>
      <c r="AD47" s="22"/>
      <c r="AE47" s="22"/>
    </row>
    <row r="48" spans="1:31">
      <c r="A48" s="22"/>
      <c r="B48" s="22"/>
      <c r="C48" s="22"/>
      <c r="D48" s="22"/>
      <c r="E48" s="22"/>
      <c r="F48" s="22"/>
      <c r="G48" s="22"/>
      <c r="H48" s="22"/>
      <c r="I48" s="22"/>
      <c r="J48" s="40"/>
      <c r="K48" s="22"/>
      <c r="L48" s="22"/>
      <c r="M48" s="22"/>
      <c r="N48" s="22"/>
      <c r="O48" s="22"/>
      <c r="P48" s="22"/>
      <c r="Q48" s="22"/>
      <c r="R48" s="22"/>
      <c r="S48" s="22"/>
      <c r="T48" s="22"/>
      <c r="U48" s="22"/>
      <c r="V48" s="22"/>
      <c r="W48" s="22"/>
      <c r="X48" s="22"/>
      <c r="Y48" s="22"/>
      <c r="Z48" s="22"/>
      <c r="AA48" s="22"/>
      <c r="AB48" s="22"/>
      <c r="AC48" s="22"/>
      <c r="AD48" s="22"/>
      <c r="AE48" s="22"/>
    </row>
    <row r="49" spans="1:31">
      <c r="A49" s="22"/>
      <c r="B49" s="22"/>
      <c r="C49" s="22"/>
      <c r="D49" s="22"/>
      <c r="E49" s="22"/>
      <c r="F49" s="22"/>
      <c r="G49" s="22"/>
      <c r="H49" s="22"/>
      <c r="I49" s="22"/>
      <c r="J49" s="40"/>
      <c r="K49" s="22"/>
      <c r="L49" s="22"/>
      <c r="M49" s="22"/>
      <c r="N49" s="22"/>
      <c r="O49" s="22"/>
      <c r="P49" s="22"/>
      <c r="Q49" s="22"/>
      <c r="R49" s="22"/>
      <c r="S49" s="22"/>
      <c r="T49" s="22"/>
      <c r="U49" s="22"/>
      <c r="V49" s="22"/>
      <c r="W49" s="22"/>
      <c r="X49" s="22"/>
      <c r="Y49" s="22"/>
      <c r="Z49" s="22"/>
      <c r="AA49" s="22"/>
      <c r="AB49" s="22"/>
      <c r="AC49" s="22"/>
      <c r="AD49" s="22"/>
      <c r="AE49" s="22"/>
    </row>
    <row r="50" spans="1:31">
      <c r="A50" s="22"/>
      <c r="B50" s="22"/>
      <c r="C50" s="22"/>
      <c r="D50" s="22"/>
      <c r="E50" s="22"/>
      <c r="F50" s="22"/>
      <c r="G50" s="22"/>
      <c r="H50" s="22"/>
      <c r="I50" s="22"/>
      <c r="J50" s="40"/>
      <c r="K50" s="22"/>
      <c r="L50" s="22"/>
      <c r="M50" s="22"/>
      <c r="N50" s="22"/>
      <c r="O50" s="22"/>
      <c r="P50" s="22"/>
      <c r="Q50" s="22"/>
      <c r="R50" s="22"/>
      <c r="S50" s="22"/>
      <c r="T50" s="22"/>
      <c r="U50" s="22"/>
      <c r="V50" s="22"/>
      <c r="W50" s="22"/>
      <c r="X50" s="22"/>
      <c r="Y50" s="22"/>
      <c r="Z50" s="22"/>
      <c r="AA50" s="22"/>
      <c r="AB50" s="22"/>
      <c r="AC50" s="22"/>
      <c r="AD50" s="22"/>
      <c r="AE50" s="22"/>
    </row>
    <row r="51" spans="1:31">
      <c r="A51" s="22"/>
      <c r="B51" s="22"/>
      <c r="C51" s="22"/>
      <c r="D51" s="22"/>
      <c r="E51" s="22"/>
      <c r="F51" s="22"/>
      <c r="G51" s="22"/>
      <c r="H51" s="22"/>
      <c r="I51" s="22"/>
      <c r="J51" s="40"/>
      <c r="K51" s="22"/>
      <c r="L51" s="22"/>
      <c r="M51" s="22"/>
      <c r="N51" s="22"/>
      <c r="O51" s="22"/>
      <c r="P51" s="22"/>
      <c r="Q51" s="22"/>
      <c r="R51" s="22"/>
      <c r="S51" s="22"/>
      <c r="T51" s="22"/>
      <c r="U51" s="22"/>
      <c r="V51" s="22"/>
      <c r="W51" s="22"/>
      <c r="X51" s="22"/>
      <c r="Y51" s="22"/>
      <c r="Z51" s="22"/>
      <c r="AA51" s="22"/>
      <c r="AB51" s="22"/>
      <c r="AC51" s="22"/>
      <c r="AD51" s="22"/>
      <c r="AE51" s="22"/>
    </row>
    <row r="52" spans="1:31">
      <c r="A52" s="22"/>
      <c r="B52" s="22"/>
      <c r="C52" s="22"/>
      <c r="D52" s="22"/>
      <c r="E52" s="22"/>
      <c r="F52" s="22"/>
      <c r="G52" s="22"/>
      <c r="H52" s="22"/>
      <c r="I52" s="22"/>
      <c r="J52" s="40"/>
      <c r="K52" s="22"/>
      <c r="L52" s="22"/>
      <c r="M52" s="22"/>
      <c r="N52" s="22"/>
      <c r="O52" s="22"/>
      <c r="P52" s="22"/>
      <c r="Q52" s="22"/>
      <c r="R52" s="22"/>
      <c r="S52" s="22"/>
      <c r="T52" s="22"/>
      <c r="U52" s="22"/>
      <c r="V52" s="22"/>
      <c r="W52" s="22"/>
      <c r="X52" s="22"/>
      <c r="Y52" s="22"/>
      <c r="Z52" s="22"/>
      <c r="AA52" s="22"/>
      <c r="AB52" s="22"/>
      <c r="AC52" s="22"/>
      <c r="AD52" s="22"/>
      <c r="AE52" s="22"/>
    </row>
    <row r="53" spans="1:31">
      <c r="A53" s="22"/>
      <c r="B53" s="22"/>
      <c r="C53" s="22"/>
      <c r="D53" s="22"/>
      <c r="E53" s="22"/>
      <c r="F53" s="22"/>
      <c r="G53" s="22"/>
      <c r="H53" s="22"/>
      <c r="I53" s="22"/>
      <c r="J53" s="40"/>
      <c r="K53" s="22"/>
      <c r="L53" s="22"/>
      <c r="M53" s="22"/>
      <c r="N53" s="22"/>
      <c r="O53" s="22"/>
      <c r="P53" s="22"/>
      <c r="Q53" s="22"/>
      <c r="R53" s="22"/>
      <c r="S53" s="22"/>
      <c r="T53" s="22"/>
      <c r="U53" s="22"/>
      <c r="V53" s="22"/>
      <c r="W53" s="22"/>
      <c r="X53" s="22"/>
      <c r="Y53" s="22"/>
      <c r="Z53" s="22"/>
      <c r="AA53" s="22"/>
      <c r="AB53" s="22"/>
      <c r="AC53" s="22"/>
      <c r="AD53" s="22"/>
      <c r="AE53" s="22"/>
    </row>
    <row r="54" spans="1:31">
      <c r="A54" s="22"/>
      <c r="B54" s="22"/>
      <c r="C54" s="22"/>
      <c r="D54" s="22"/>
      <c r="E54" s="22"/>
      <c r="F54" s="22"/>
      <c r="G54" s="22"/>
      <c r="H54" s="22"/>
      <c r="I54" s="22"/>
      <c r="J54" s="40"/>
      <c r="K54" s="22"/>
      <c r="L54" s="22"/>
      <c r="M54" s="22"/>
      <c r="N54" s="22"/>
      <c r="O54" s="22"/>
      <c r="P54" s="22"/>
      <c r="Q54" s="22"/>
      <c r="R54" s="22"/>
      <c r="S54" s="22"/>
      <c r="T54" s="22"/>
      <c r="U54" s="22"/>
      <c r="V54" s="22"/>
      <c r="W54" s="22"/>
      <c r="X54" s="22"/>
      <c r="Y54" s="22"/>
      <c r="Z54" s="22"/>
      <c r="AA54" s="22"/>
      <c r="AB54" s="22"/>
      <c r="AC54" s="22"/>
      <c r="AD54" s="22"/>
      <c r="AE54" s="22"/>
    </row>
    <row r="55" spans="1:31">
      <c r="A55" s="22"/>
      <c r="B55" s="22"/>
      <c r="C55" s="22"/>
      <c r="D55" s="22"/>
      <c r="E55" s="22"/>
      <c r="F55" s="22"/>
      <c r="G55" s="22"/>
      <c r="H55" s="22"/>
      <c r="I55" s="22"/>
      <c r="J55" s="40"/>
      <c r="K55" s="22"/>
      <c r="L55" s="22"/>
      <c r="M55" s="22"/>
      <c r="N55" s="22"/>
      <c r="O55" s="22"/>
      <c r="P55" s="22"/>
      <c r="Q55" s="22"/>
      <c r="R55" s="22"/>
      <c r="S55" s="22"/>
      <c r="T55" s="22"/>
      <c r="U55" s="22"/>
      <c r="V55" s="22"/>
      <c r="W55" s="22"/>
      <c r="X55" s="22"/>
      <c r="Y55" s="22"/>
      <c r="Z55" s="22"/>
      <c r="AA55" s="22"/>
      <c r="AB55" s="22"/>
      <c r="AC55" s="22"/>
      <c r="AD55" s="22"/>
      <c r="AE55" s="22"/>
    </row>
    <row r="56" spans="1:31">
      <c r="A56" s="22"/>
      <c r="B56" s="22"/>
      <c r="C56" s="22"/>
      <c r="D56" s="22"/>
      <c r="E56" s="22"/>
      <c r="F56" s="22"/>
      <c r="G56" s="22"/>
      <c r="H56" s="22"/>
      <c r="I56" s="22"/>
      <c r="J56" s="40"/>
      <c r="K56" s="22"/>
      <c r="L56" s="22"/>
      <c r="M56" s="22"/>
      <c r="N56" s="22"/>
      <c r="O56" s="22"/>
      <c r="P56" s="22"/>
      <c r="Q56" s="22"/>
      <c r="R56" s="22"/>
      <c r="S56" s="22"/>
      <c r="T56" s="22"/>
      <c r="U56" s="22"/>
      <c r="V56" s="22"/>
      <c r="W56" s="22"/>
      <c r="X56" s="22"/>
      <c r="Y56" s="22"/>
      <c r="Z56" s="22"/>
      <c r="AA56" s="22"/>
      <c r="AB56" s="22"/>
      <c r="AC56" s="22"/>
      <c r="AD56" s="22"/>
      <c r="AE56" s="22"/>
    </row>
    <row r="57" spans="1:31">
      <c r="A57" s="22"/>
      <c r="B57" s="22"/>
      <c r="C57" s="22"/>
      <c r="D57" s="22"/>
      <c r="E57" s="22"/>
      <c r="F57" s="22"/>
      <c r="G57" s="22"/>
      <c r="H57" s="22"/>
      <c r="I57" s="22"/>
      <c r="J57" s="40"/>
      <c r="K57" s="22"/>
      <c r="L57" s="22"/>
      <c r="M57" s="22"/>
      <c r="N57" s="22"/>
      <c r="O57" s="22"/>
      <c r="P57" s="22"/>
      <c r="Q57" s="22"/>
      <c r="R57" s="22"/>
      <c r="S57" s="22"/>
      <c r="T57" s="22"/>
      <c r="U57" s="22"/>
      <c r="V57" s="22"/>
      <c r="W57" s="22"/>
      <c r="X57" s="22"/>
      <c r="Y57" s="22"/>
      <c r="Z57" s="22"/>
      <c r="AA57" s="22"/>
      <c r="AB57" s="22"/>
      <c r="AC57" s="22"/>
      <c r="AD57" s="22"/>
      <c r="AE57" s="22"/>
    </row>
    <row r="58" spans="1:31">
      <c r="A58" s="22"/>
      <c r="B58" s="22"/>
      <c r="C58" s="22"/>
      <c r="D58" s="22"/>
      <c r="E58" s="22"/>
      <c r="F58" s="22"/>
      <c r="G58" s="22"/>
      <c r="H58" s="22"/>
      <c r="I58" s="22"/>
      <c r="J58" s="40"/>
      <c r="K58" s="22"/>
      <c r="L58" s="22"/>
      <c r="M58" s="22"/>
      <c r="N58" s="22"/>
      <c r="O58" s="22"/>
      <c r="P58" s="22"/>
      <c r="Q58" s="22"/>
      <c r="R58" s="22"/>
      <c r="S58" s="22"/>
      <c r="T58" s="22"/>
      <c r="U58" s="22"/>
      <c r="V58" s="22"/>
      <c r="W58" s="22"/>
      <c r="X58" s="22"/>
      <c r="Y58" s="22"/>
      <c r="Z58" s="22"/>
      <c r="AA58" s="22"/>
      <c r="AB58" s="22"/>
      <c r="AC58" s="22"/>
      <c r="AD58" s="22"/>
      <c r="AE58" s="22"/>
    </row>
    <row r="59" spans="1:31">
      <c r="A59" s="22"/>
      <c r="B59" s="22"/>
      <c r="C59" s="22"/>
      <c r="D59" s="22"/>
      <c r="E59" s="22"/>
      <c r="F59" s="22"/>
      <c r="G59" s="22"/>
      <c r="H59" s="22"/>
      <c r="I59" s="22"/>
      <c r="J59" s="40"/>
      <c r="K59" s="22"/>
      <c r="L59" s="22"/>
      <c r="M59" s="22"/>
      <c r="N59" s="22"/>
      <c r="O59" s="22"/>
      <c r="P59" s="22"/>
      <c r="Q59" s="22"/>
      <c r="R59" s="22"/>
      <c r="S59" s="22"/>
      <c r="T59" s="22"/>
      <c r="U59" s="22"/>
      <c r="V59" s="22"/>
      <c r="W59" s="22"/>
      <c r="X59" s="22"/>
      <c r="Y59" s="22"/>
      <c r="Z59" s="22"/>
      <c r="AA59" s="22"/>
      <c r="AB59" s="22"/>
      <c r="AC59" s="22"/>
      <c r="AD59" s="22"/>
      <c r="AE59" s="22"/>
    </row>
    <row r="60" spans="1:31">
      <c r="A60" s="22"/>
      <c r="B60" s="22"/>
      <c r="C60" s="22"/>
      <c r="D60" s="22"/>
      <c r="E60" s="22"/>
      <c r="F60" s="22"/>
      <c r="G60" s="22"/>
      <c r="H60" s="22"/>
      <c r="I60" s="22"/>
      <c r="J60" s="40"/>
      <c r="K60" s="22"/>
      <c r="L60" s="22"/>
      <c r="M60" s="22"/>
      <c r="N60" s="22"/>
      <c r="O60" s="22"/>
      <c r="P60" s="22"/>
      <c r="Q60" s="22"/>
      <c r="R60" s="22"/>
      <c r="S60" s="22"/>
      <c r="T60" s="22"/>
      <c r="U60" s="22"/>
      <c r="V60" s="22"/>
      <c r="W60" s="22"/>
      <c r="X60" s="22"/>
      <c r="Y60" s="22"/>
      <c r="Z60" s="22"/>
      <c r="AA60" s="22"/>
      <c r="AB60" s="22"/>
      <c r="AC60" s="22"/>
      <c r="AD60" s="22"/>
      <c r="AE60" s="22"/>
    </row>
    <row r="61" spans="1:31">
      <c r="A61" s="22"/>
      <c r="B61" s="22"/>
      <c r="C61" s="22"/>
      <c r="D61" s="22"/>
      <c r="E61" s="22"/>
      <c r="F61" s="22"/>
      <c r="G61" s="22"/>
      <c r="H61" s="22"/>
      <c r="I61" s="22"/>
      <c r="J61" s="40"/>
      <c r="K61" s="22"/>
      <c r="L61" s="22"/>
      <c r="M61" s="22"/>
      <c r="N61" s="22"/>
      <c r="O61" s="22"/>
      <c r="P61" s="22"/>
      <c r="Q61" s="22"/>
      <c r="R61" s="22"/>
      <c r="S61" s="22"/>
      <c r="T61" s="22"/>
      <c r="U61" s="22"/>
      <c r="V61" s="22"/>
      <c r="W61" s="22"/>
      <c r="X61" s="22"/>
      <c r="Y61" s="22"/>
      <c r="Z61" s="22"/>
      <c r="AA61" s="22"/>
      <c r="AB61" s="22"/>
      <c r="AC61" s="22"/>
      <c r="AD61" s="22"/>
      <c r="AE61" s="22"/>
    </row>
    <row r="62" spans="1:31">
      <c r="A62" s="22"/>
      <c r="B62" s="22"/>
      <c r="C62" s="22"/>
      <c r="D62" s="22"/>
      <c r="E62" s="22"/>
      <c r="F62" s="22"/>
      <c r="G62" s="22"/>
      <c r="H62" s="22"/>
      <c r="I62" s="22"/>
      <c r="J62" s="40"/>
      <c r="K62" s="22"/>
      <c r="L62" s="22"/>
      <c r="M62" s="22"/>
      <c r="N62" s="22"/>
      <c r="O62" s="22"/>
      <c r="P62" s="22"/>
      <c r="Q62" s="22"/>
      <c r="R62" s="22"/>
      <c r="S62" s="22"/>
      <c r="T62" s="22"/>
      <c r="U62" s="22"/>
      <c r="V62" s="22"/>
      <c r="W62" s="22"/>
      <c r="X62" s="22"/>
      <c r="Y62" s="22"/>
      <c r="Z62" s="22"/>
      <c r="AA62" s="22"/>
      <c r="AB62" s="22"/>
      <c r="AC62" s="22"/>
      <c r="AD62" s="22"/>
      <c r="AE62" s="22"/>
    </row>
    <row r="63" spans="1:31">
      <c r="A63" s="22"/>
      <c r="B63" s="22"/>
      <c r="C63" s="22"/>
      <c r="D63" s="22"/>
      <c r="E63" s="22"/>
      <c r="F63" s="22"/>
      <c r="G63" s="22"/>
      <c r="H63" s="22"/>
      <c r="I63" s="22"/>
      <c r="J63" s="40"/>
      <c r="K63" s="22"/>
      <c r="L63" s="22"/>
      <c r="M63" s="22"/>
      <c r="N63" s="22"/>
      <c r="O63" s="22"/>
      <c r="P63" s="22"/>
      <c r="Q63" s="22"/>
      <c r="R63" s="22"/>
      <c r="S63" s="22"/>
      <c r="T63" s="22"/>
      <c r="U63" s="22"/>
      <c r="V63" s="22"/>
      <c r="W63" s="22"/>
      <c r="X63" s="22"/>
      <c r="Y63" s="22"/>
      <c r="Z63" s="22"/>
      <c r="AA63" s="22"/>
      <c r="AB63" s="22"/>
      <c r="AC63" s="22"/>
      <c r="AD63" s="22"/>
      <c r="AE63" s="22"/>
    </row>
    <row r="64" spans="1:31">
      <c r="A64" s="22"/>
      <c r="B64" s="22"/>
      <c r="C64" s="22"/>
      <c r="D64" s="22"/>
      <c r="E64" s="22"/>
      <c r="F64" s="22"/>
      <c r="G64" s="22"/>
      <c r="H64" s="22"/>
      <c r="I64" s="22"/>
      <c r="J64" s="40"/>
      <c r="K64" s="22"/>
      <c r="L64" s="22"/>
      <c r="M64" s="22"/>
      <c r="N64" s="22"/>
      <c r="O64" s="22"/>
      <c r="P64" s="22"/>
      <c r="Q64" s="22"/>
      <c r="R64" s="22"/>
      <c r="S64" s="22"/>
      <c r="T64" s="22"/>
      <c r="U64" s="22"/>
      <c r="V64" s="22"/>
      <c r="W64" s="22"/>
      <c r="X64" s="22"/>
      <c r="Y64" s="22"/>
      <c r="Z64" s="22"/>
      <c r="AA64" s="22"/>
      <c r="AB64" s="22"/>
      <c r="AC64" s="22"/>
      <c r="AD64" s="22"/>
      <c r="AE64" s="22"/>
    </row>
    <row r="65" spans="1:31">
      <c r="A65" s="22"/>
      <c r="B65" s="22"/>
      <c r="C65" s="22"/>
      <c r="D65" s="22"/>
      <c r="E65" s="22"/>
      <c r="F65" s="22"/>
      <c r="G65" s="22"/>
      <c r="H65" s="22"/>
      <c r="I65" s="22"/>
      <c r="J65" s="40"/>
      <c r="K65" s="22"/>
      <c r="L65" s="22"/>
      <c r="M65" s="22"/>
      <c r="N65" s="22"/>
      <c r="O65" s="22"/>
      <c r="P65" s="22"/>
      <c r="Q65" s="22"/>
      <c r="R65" s="22"/>
      <c r="S65" s="22"/>
      <c r="T65" s="22"/>
      <c r="U65" s="22"/>
      <c r="V65" s="22"/>
      <c r="W65" s="22"/>
      <c r="X65" s="22"/>
      <c r="Y65" s="22"/>
      <c r="Z65" s="22"/>
      <c r="AA65" s="22"/>
      <c r="AB65" s="22"/>
      <c r="AC65" s="22"/>
      <c r="AD65" s="22"/>
      <c r="AE65" s="22"/>
    </row>
    <row r="66" spans="1:31">
      <c r="A66" s="22"/>
      <c r="B66" s="22"/>
      <c r="C66" s="22"/>
      <c r="D66" s="22"/>
      <c r="E66" s="22"/>
      <c r="F66" s="22"/>
      <c r="G66" s="22"/>
      <c r="H66" s="22"/>
      <c r="I66" s="22"/>
      <c r="J66" s="40"/>
      <c r="K66" s="22"/>
      <c r="L66" s="22"/>
      <c r="M66" s="22"/>
      <c r="N66" s="22"/>
      <c r="O66" s="22"/>
      <c r="P66" s="22"/>
      <c r="Q66" s="22"/>
      <c r="R66" s="22"/>
      <c r="S66" s="22"/>
      <c r="T66" s="22"/>
      <c r="U66" s="22"/>
      <c r="V66" s="22"/>
      <c r="W66" s="22"/>
      <c r="X66" s="22"/>
      <c r="Y66" s="22"/>
      <c r="Z66" s="22"/>
      <c r="AA66" s="22"/>
      <c r="AB66" s="22"/>
      <c r="AC66" s="22"/>
      <c r="AD66" s="22"/>
      <c r="AE66" s="22"/>
    </row>
    <row r="67" spans="1:31">
      <c r="A67" s="22"/>
      <c r="B67" s="22"/>
      <c r="C67" s="22"/>
      <c r="D67" s="22"/>
      <c r="E67" s="22"/>
      <c r="F67" s="22"/>
      <c r="G67" s="22"/>
      <c r="H67" s="22"/>
      <c r="I67" s="22"/>
      <c r="J67" s="40"/>
      <c r="K67" s="22"/>
      <c r="L67" s="22"/>
      <c r="M67" s="22"/>
      <c r="N67" s="22"/>
      <c r="O67" s="22"/>
      <c r="P67" s="22"/>
      <c r="Q67" s="22"/>
      <c r="R67" s="22"/>
      <c r="S67" s="22"/>
      <c r="T67" s="22"/>
      <c r="U67" s="22"/>
      <c r="V67" s="22"/>
      <c r="W67" s="22"/>
      <c r="X67" s="22"/>
      <c r="Y67" s="22"/>
      <c r="Z67" s="22"/>
      <c r="AA67" s="22"/>
      <c r="AB67" s="22"/>
      <c r="AC67" s="22"/>
      <c r="AD67" s="22"/>
      <c r="AE67" s="22"/>
    </row>
    <row r="68" spans="1:31">
      <c r="A68" s="22"/>
      <c r="B68" s="22"/>
      <c r="C68" s="22"/>
      <c r="D68" s="22"/>
      <c r="E68" s="22"/>
      <c r="F68" s="22"/>
      <c r="G68" s="22"/>
      <c r="H68" s="22"/>
      <c r="I68" s="22"/>
      <c r="J68" s="40"/>
      <c r="K68" s="22"/>
      <c r="L68" s="22"/>
      <c r="M68" s="22"/>
      <c r="N68" s="22"/>
      <c r="O68" s="22"/>
      <c r="P68" s="22"/>
      <c r="Q68" s="22"/>
      <c r="R68" s="22"/>
      <c r="S68" s="22"/>
      <c r="T68" s="22"/>
      <c r="U68" s="22"/>
      <c r="V68" s="22"/>
      <c r="W68" s="22"/>
      <c r="X68" s="22"/>
      <c r="Y68" s="22"/>
      <c r="Z68" s="22"/>
      <c r="AA68" s="22"/>
      <c r="AB68" s="22"/>
      <c r="AC68" s="22"/>
      <c r="AD68" s="22"/>
      <c r="AE68" s="22"/>
    </row>
    <row r="69" spans="1:31">
      <c r="A69" s="22"/>
      <c r="B69" s="22"/>
      <c r="C69" s="22"/>
      <c r="D69" s="22"/>
      <c r="E69" s="22"/>
      <c r="F69" s="22"/>
      <c r="G69" s="22"/>
      <c r="H69" s="22"/>
      <c r="I69" s="22"/>
      <c r="J69" s="40"/>
      <c r="K69" s="22"/>
      <c r="L69" s="22"/>
      <c r="M69" s="22"/>
      <c r="N69" s="22"/>
      <c r="O69" s="22"/>
      <c r="P69" s="22"/>
      <c r="Q69" s="22"/>
      <c r="R69" s="22"/>
      <c r="S69" s="22"/>
      <c r="T69" s="22"/>
      <c r="U69" s="22"/>
      <c r="V69" s="22"/>
      <c r="W69" s="22"/>
      <c r="X69" s="22"/>
      <c r="Y69" s="22"/>
      <c r="Z69" s="22"/>
      <c r="AA69" s="22"/>
      <c r="AB69" s="22"/>
      <c r="AC69" s="22"/>
      <c r="AD69" s="22"/>
      <c r="AE69" s="22"/>
    </row>
    <row r="70" spans="1:31">
      <c r="A70" s="22"/>
      <c r="B70" s="22"/>
      <c r="C70" s="22"/>
      <c r="D70" s="22"/>
      <c r="E70" s="22"/>
      <c r="F70" s="22"/>
      <c r="G70" s="22"/>
      <c r="H70" s="22"/>
      <c r="I70" s="22"/>
      <c r="J70" s="40"/>
      <c r="K70" s="22"/>
      <c r="L70" s="22"/>
      <c r="M70" s="22"/>
      <c r="N70" s="22"/>
      <c r="O70" s="22"/>
      <c r="P70" s="22"/>
      <c r="Q70" s="22"/>
      <c r="R70" s="22"/>
      <c r="S70" s="22"/>
      <c r="T70" s="22"/>
      <c r="U70" s="22"/>
      <c r="V70" s="22"/>
      <c r="W70" s="22"/>
      <c r="X70" s="22"/>
      <c r="Y70" s="22"/>
      <c r="Z70" s="22"/>
      <c r="AA70" s="22"/>
      <c r="AB70" s="22"/>
      <c r="AC70" s="22"/>
      <c r="AD70" s="22"/>
      <c r="AE70" s="22"/>
    </row>
    <row r="71" spans="1:31">
      <c r="A71" s="22"/>
      <c r="B71" s="22"/>
      <c r="C71" s="22"/>
      <c r="D71" s="22"/>
      <c r="E71" s="22"/>
      <c r="F71" s="22"/>
      <c r="G71" s="22"/>
      <c r="H71" s="22"/>
      <c r="I71" s="22"/>
      <c r="J71" s="40"/>
      <c r="K71" s="22"/>
      <c r="L71" s="22"/>
      <c r="M71" s="22"/>
      <c r="N71" s="22"/>
      <c r="O71" s="22"/>
      <c r="P71" s="22"/>
      <c r="Q71" s="22"/>
      <c r="R71" s="22"/>
      <c r="S71" s="22"/>
      <c r="T71" s="22"/>
      <c r="U71" s="22"/>
      <c r="V71" s="22"/>
      <c r="W71" s="22"/>
      <c r="X71" s="22"/>
      <c r="Y71" s="22"/>
      <c r="Z71" s="22"/>
      <c r="AA71" s="22"/>
      <c r="AB71" s="22"/>
      <c r="AC71" s="22"/>
      <c r="AD71" s="22"/>
      <c r="AE71" s="22"/>
    </row>
    <row r="72" spans="1:31">
      <c r="A72" s="22"/>
      <c r="B72" s="22"/>
      <c r="C72" s="22"/>
      <c r="D72" s="22"/>
      <c r="E72" s="22"/>
      <c r="F72" s="22"/>
      <c r="G72" s="22"/>
      <c r="H72" s="22"/>
      <c r="I72" s="22"/>
      <c r="J72" s="40"/>
      <c r="K72" s="22"/>
      <c r="L72" s="22"/>
      <c r="M72" s="22"/>
      <c r="N72" s="22"/>
      <c r="O72" s="22"/>
      <c r="P72" s="22"/>
      <c r="Q72" s="22"/>
      <c r="R72" s="22"/>
      <c r="S72" s="22"/>
      <c r="T72" s="22"/>
      <c r="U72" s="22"/>
      <c r="V72" s="22"/>
      <c r="W72" s="22"/>
      <c r="X72" s="22"/>
      <c r="Y72" s="22"/>
      <c r="Z72" s="22"/>
      <c r="AA72" s="22"/>
      <c r="AB72" s="22"/>
      <c r="AC72" s="22"/>
      <c r="AD72" s="22"/>
      <c r="AE72" s="22"/>
    </row>
    <row r="73" spans="1:31">
      <c r="A73" s="22"/>
      <c r="B73" s="22"/>
      <c r="C73" s="22"/>
      <c r="D73" s="22"/>
      <c r="E73" s="22"/>
      <c r="F73" s="22"/>
      <c r="G73" s="22"/>
      <c r="H73" s="22"/>
      <c r="I73" s="22"/>
      <c r="J73" s="40"/>
      <c r="K73" s="22"/>
      <c r="L73" s="22"/>
      <c r="M73" s="22"/>
      <c r="N73" s="22"/>
      <c r="O73" s="22"/>
      <c r="P73" s="22"/>
      <c r="Q73" s="22"/>
      <c r="R73" s="22"/>
      <c r="S73" s="22"/>
      <c r="T73" s="22"/>
      <c r="U73" s="22"/>
      <c r="V73" s="22"/>
      <c r="W73" s="22"/>
      <c r="X73" s="22"/>
      <c r="Y73" s="22"/>
      <c r="Z73" s="22"/>
      <c r="AA73" s="22"/>
      <c r="AB73" s="22"/>
      <c r="AC73" s="22"/>
      <c r="AD73" s="22"/>
      <c r="AE73" s="22"/>
    </row>
    <row r="74" spans="1:31">
      <c r="A74" s="22"/>
      <c r="B74" s="22"/>
      <c r="C74" s="22"/>
      <c r="D74" s="22"/>
      <c r="E74" s="22"/>
      <c r="F74" s="22"/>
      <c r="G74" s="22"/>
      <c r="H74" s="22"/>
      <c r="I74" s="22"/>
      <c r="J74" s="40"/>
      <c r="K74" s="22"/>
      <c r="L74" s="22"/>
      <c r="M74" s="22"/>
      <c r="N74" s="22"/>
      <c r="O74" s="22"/>
      <c r="P74" s="22"/>
      <c r="Q74" s="22"/>
      <c r="R74" s="22"/>
      <c r="S74" s="22"/>
      <c r="T74" s="22"/>
      <c r="U74" s="22"/>
      <c r="V74" s="22"/>
      <c r="W74" s="22"/>
      <c r="X74" s="22"/>
      <c r="Y74" s="22"/>
      <c r="Z74" s="22"/>
      <c r="AA74" s="22"/>
      <c r="AB74" s="22"/>
      <c r="AC74" s="22"/>
      <c r="AD74" s="22"/>
      <c r="AE74" s="22"/>
    </row>
    <row r="75" spans="1:31">
      <c r="A75" s="22"/>
      <c r="B75" s="22"/>
      <c r="C75" s="22"/>
      <c r="D75" s="22"/>
      <c r="E75" s="22"/>
      <c r="F75" s="22"/>
      <c r="G75" s="22"/>
      <c r="H75" s="22"/>
      <c r="I75" s="22"/>
      <c r="J75" s="40"/>
      <c r="K75" s="22"/>
      <c r="L75" s="22"/>
      <c r="M75" s="22"/>
      <c r="N75" s="22"/>
      <c r="O75" s="22"/>
      <c r="P75" s="22"/>
      <c r="Q75" s="22"/>
      <c r="R75" s="22"/>
      <c r="S75" s="22"/>
      <c r="T75" s="22"/>
      <c r="U75" s="22"/>
      <c r="V75" s="22"/>
      <c r="W75" s="22"/>
      <c r="X75" s="22"/>
      <c r="Y75" s="22"/>
      <c r="Z75" s="22"/>
      <c r="AA75" s="22"/>
      <c r="AB75" s="22"/>
      <c r="AC75" s="22"/>
      <c r="AD75" s="22"/>
      <c r="AE75" s="22"/>
    </row>
    <row r="76" spans="1:31">
      <c r="A76" s="22"/>
      <c r="B76" s="22"/>
      <c r="C76" s="22"/>
      <c r="D76" s="22"/>
      <c r="E76" s="22"/>
      <c r="F76" s="22"/>
      <c r="G76" s="22"/>
      <c r="H76" s="22"/>
      <c r="I76" s="22"/>
      <c r="J76" s="40"/>
      <c r="K76" s="22"/>
      <c r="L76" s="22"/>
      <c r="M76" s="22"/>
      <c r="N76" s="22"/>
      <c r="O76" s="22"/>
      <c r="P76" s="22"/>
      <c r="Q76" s="22"/>
      <c r="R76" s="22"/>
      <c r="S76" s="22"/>
      <c r="T76" s="22"/>
      <c r="U76" s="22"/>
      <c r="V76" s="22"/>
      <c r="W76" s="22"/>
      <c r="X76" s="22"/>
      <c r="Y76" s="22"/>
      <c r="Z76" s="22"/>
      <c r="AA76" s="22"/>
      <c r="AB76" s="22"/>
      <c r="AC76" s="22"/>
      <c r="AD76" s="22"/>
      <c r="AE76" s="22"/>
    </row>
    <row r="77" spans="1:31">
      <c r="A77" s="22"/>
      <c r="B77" s="22"/>
      <c r="C77" s="22"/>
      <c r="D77" s="22"/>
      <c r="E77" s="22"/>
      <c r="F77" s="22"/>
      <c r="G77" s="22"/>
      <c r="H77" s="22"/>
      <c r="I77" s="22"/>
      <c r="J77" s="40"/>
      <c r="K77" s="22"/>
      <c r="L77" s="22"/>
      <c r="M77" s="22"/>
      <c r="N77" s="22"/>
      <c r="O77" s="22"/>
      <c r="P77" s="22"/>
      <c r="Q77" s="22"/>
      <c r="R77" s="22"/>
      <c r="S77" s="22"/>
      <c r="T77" s="22"/>
      <c r="U77" s="22"/>
      <c r="V77" s="22"/>
      <c r="W77" s="22"/>
      <c r="X77" s="22"/>
      <c r="Y77" s="22"/>
      <c r="Z77" s="22"/>
      <c r="AA77" s="22"/>
      <c r="AB77" s="22"/>
      <c r="AC77" s="22"/>
      <c r="AD77" s="22"/>
      <c r="AE77" s="22"/>
    </row>
    <row r="78" spans="1:31">
      <c r="A78" s="22"/>
      <c r="B78" s="22"/>
      <c r="C78" s="22"/>
      <c r="D78" s="22"/>
      <c r="E78" s="22"/>
      <c r="F78" s="22"/>
      <c r="G78" s="22"/>
      <c r="H78" s="22"/>
      <c r="I78" s="22"/>
      <c r="J78" s="40"/>
      <c r="K78" s="22"/>
      <c r="L78" s="22"/>
      <c r="M78" s="22"/>
      <c r="N78" s="22"/>
      <c r="O78" s="22"/>
      <c r="P78" s="22"/>
      <c r="Q78" s="22"/>
      <c r="R78" s="22"/>
      <c r="S78" s="22"/>
      <c r="T78" s="22"/>
      <c r="U78" s="22"/>
      <c r="V78" s="22"/>
      <c r="W78" s="22"/>
      <c r="X78" s="22"/>
      <c r="Y78" s="22"/>
      <c r="Z78" s="22"/>
      <c r="AA78" s="22"/>
      <c r="AB78" s="22"/>
      <c r="AC78" s="22"/>
      <c r="AD78" s="22"/>
      <c r="AE78" s="22"/>
    </row>
    <row r="79" spans="1:31">
      <c r="A79" s="22"/>
      <c r="B79" s="22"/>
      <c r="C79" s="22"/>
      <c r="D79" s="22"/>
      <c r="E79" s="22"/>
      <c r="F79" s="22"/>
      <c r="G79" s="22"/>
      <c r="H79" s="22"/>
      <c r="I79" s="22"/>
      <c r="J79" s="40"/>
      <c r="K79" s="22"/>
      <c r="L79" s="22"/>
      <c r="M79" s="22"/>
      <c r="N79" s="22"/>
      <c r="O79" s="22"/>
      <c r="P79" s="22"/>
      <c r="Q79" s="22"/>
      <c r="R79" s="22"/>
      <c r="S79" s="22"/>
      <c r="T79" s="22"/>
      <c r="U79" s="22"/>
      <c r="V79" s="22"/>
      <c r="W79" s="22"/>
      <c r="X79" s="22"/>
      <c r="Y79" s="22"/>
      <c r="Z79" s="22"/>
      <c r="AA79" s="22"/>
      <c r="AB79" s="22"/>
      <c r="AC79" s="22"/>
      <c r="AD79" s="22"/>
      <c r="AE79" s="22"/>
    </row>
    <row r="80" spans="1:31">
      <c r="A80" s="22"/>
      <c r="B80" s="22"/>
      <c r="C80" s="22"/>
      <c r="D80" s="22"/>
      <c r="E80" s="22"/>
      <c r="F80" s="22"/>
      <c r="G80" s="22"/>
      <c r="H80" s="22"/>
      <c r="I80" s="22"/>
      <c r="J80" s="40"/>
      <c r="K80" s="22"/>
      <c r="L80" s="22"/>
      <c r="M80" s="22"/>
      <c r="N80" s="22"/>
      <c r="O80" s="22"/>
      <c r="P80" s="22"/>
      <c r="Q80" s="22"/>
      <c r="R80" s="22"/>
      <c r="S80" s="22"/>
      <c r="T80" s="22"/>
      <c r="U80" s="22"/>
      <c r="V80" s="22"/>
      <c r="W80" s="22"/>
      <c r="X80" s="22"/>
      <c r="Y80" s="22"/>
      <c r="Z80" s="22"/>
      <c r="AA80" s="22"/>
      <c r="AB80" s="22"/>
      <c r="AC80" s="22"/>
      <c r="AD80" s="22"/>
      <c r="AE80" s="22"/>
    </row>
    <row r="81" spans="1:31">
      <c r="A81" s="22"/>
      <c r="B81" s="22"/>
      <c r="C81" s="22"/>
      <c r="D81" s="22"/>
      <c r="E81" s="22"/>
      <c r="F81" s="22"/>
      <c r="G81" s="22"/>
      <c r="H81" s="22"/>
      <c r="I81" s="22"/>
      <c r="J81" s="40"/>
      <c r="K81" s="22"/>
      <c r="L81" s="22"/>
      <c r="M81" s="22"/>
      <c r="N81" s="22"/>
      <c r="O81" s="22"/>
      <c r="P81" s="22"/>
      <c r="Q81" s="22"/>
      <c r="R81" s="22"/>
      <c r="S81" s="22"/>
      <c r="T81" s="22"/>
      <c r="U81" s="22"/>
      <c r="V81" s="22"/>
      <c r="W81" s="22"/>
      <c r="X81" s="22"/>
      <c r="Y81" s="22"/>
      <c r="Z81" s="22"/>
      <c r="AA81" s="22"/>
      <c r="AB81" s="22"/>
      <c r="AC81" s="22"/>
      <c r="AD81" s="22"/>
      <c r="AE81" s="22"/>
    </row>
    <row r="82" spans="1:31">
      <c r="A82" s="22"/>
      <c r="B82" s="22"/>
      <c r="C82" s="22"/>
      <c r="D82" s="22"/>
      <c r="E82" s="22"/>
      <c r="F82" s="22"/>
      <c r="G82" s="22"/>
      <c r="H82" s="22"/>
      <c r="I82" s="22"/>
      <c r="J82" s="40"/>
      <c r="K82" s="22"/>
      <c r="L82" s="22"/>
      <c r="M82" s="22"/>
      <c r="N82" s="22"/>
      <c r="O82" s="22"/>
      <c r="P82" s="22"/>
      <c r="Q82" s="22"/>
      <c r="R82" s="22"/>
      <c r="S82" s="22"/>
      <c r="T82" s="22"/>
      <c r="U82" s="22"/>
      <c r="V82" s="22"/>
      <c r="W82" s="22"/>
      <c r="X82" s="22"/>
      <c r="Y82" s="22"/>
      <c r="Z82" s="22"/>
      <c r="AA82" s="22"/>
      <c r="AB82" s="22"/>
      <c r="AC82" s="22"/>
      <c r="AD82" s="22"/>
      <c r="AE82" s="22"/>
    </row>
    <row r="83" spans="1:31">
      <c r="A83" s="22"/>
      <c r="B83" s="22"/>
      <c r="C83" s="22"/>
      <c r="D83" s="22"/>
      <c r="E83" s="22"/>
      <c r="F83" s="22"/>
      <c r="G83" s="22"/>
      <c r="H83" s="22"/>
      <c r="I83" s="22"/>
      <c r="J83" s="40"/>
      <c r="K83" s="22"/>
      <c r="L83" s="22"/>
      <c r="M83" s="22"/>
      <c r="N83" s="22"/>
      <c r="O83" s="22"/>
      <c r="P83" s="22"/>
      <c r="Q83" s="22"/>
      <c r="R83" s="22"/>
      <c r="S83" s="22"/>
      <c r="T83" s="22"/>
      <c r="U83" s="22"/>
      <c r="V83" s="22"/>
      <c r="W83" s="22"/>
      <c r="X83" s="22"/>
      <c r="Y83" s="22"/>
      <c r="Z83" s="22"/>
      <c r="AA83" s="22"/>
      <c r="AB83" s="22"/>
      <c r="AC83" s="22"/>
      <c r="AD83" s="22"/>
      <c r="AE83" s="22"/>
    </row>
    <row r="84" spans="1:31">
      <c r="A84" s="22"/>
      <c r="B84" s="22"/>
      <c r="C84" s="22"/>
      <c r="D84" s="22"/>
      <c r="E84" s="22"/>
      <c r="F84" s="22"/>
      <c r="G84" s="22"/>
      <c r="H84" s="22"/>
      <c r="I84" s="22"/>
      <c r="J84" s="40"/>
      <c r="K84" s="22"/>
      <c r="L84" s="22"/>
      <c r="M84" s="22"/>
      <c r="N84" s="22"/>
      <c r="O84" s="22"/>
      <c r="P84" s="22"/>
      <c r="Q84" s="22"/>
      <c r="R84" s="22"/>
      <c r="S84" s="22"/>
      <c r="T84" s="22"/>
      <c r="U84" s="22"/>
      <c r="V84" s="22"/>
      <c r="W84" s="22"/>
      <c r="X84" s="22"/>
      <c r="Y84" s="22"/>
      <c r="Z84" s="22"/>
      <c r="AA84" s="22"/>
      <c r="AB84" s="22"/>
      <c r="AC84" s="22"/>
      <c r="AD84" s="22"/>
      <c r="AE84" s="22"/>
    </row>
    <row r="85" spans="1:31">
      <c r="A85" s="22"/>
      <c r="B85" s="22"/>
      <c r="C85" s="22"/>
      <c r="D85" s="22"/>
      <c r="E85" s="22"/>
      <c r="F85" s="22"/>
      <c r="G85" s="22"/>
      <c r="H85" s="22"/>
      <c r="I85" s="22"/>
      <c r="J85" s="40"/>
      <c r="K85" s="22"/>
      <c r="L85" s="22"/>
      <c r="M85" s="22"/>
      <c r="N85" s="22"/>
      <c r="O85" s="22"/>
      <c r="P85" s="22"/>
      <c r="Q85" s="22"/>
      <c r="R85" s="22"/>
      <c r="S85" s="22"/>
      <c r="T85" s="22"/>
      <c r="U85" s="22"/>
      <c r="V85" s="22"/>
      <c r="W85" s="22"/>
      <c r="X85" s="22"/>
      <c r="Y85" s="22"/>
      <c r="Z85" s="22"/>
      <c r="AA85" s="22"/>
      <c r="AB85" s="22"/>
      <c r="AC85" s="22"/>
      <c r="AD85" s="22"/>
      <c r="AE85" s="22"/>
    </row>
    <row r="86" spans="1:31">
      <c r="A86" s="22"/>
      <c r="B86" s="22"/>
      <c r="C86" s="22"/>
      <c r="D86" s="22"/>
      <c r="E86" s="22"/>
      <c r="F86" s="22"/>
      <c r="G86" s="22"/>
      <c r="H86" s="22"/>
      <c r="I86" s="22"/>
      <c r="J86" s="40"/>
      <c r="K86" s="22"/>
      <c r="L86" s="22"/>
      <c r="M86" s="22"/>
      <c r="N86" s="22"/>
      <c r="O86" s="22"/>
      <c r="P86" s="22"/>
      <c r="Q86" s="22"/>
      <c r="R86" s="22"/>
      <c r="S86" s="22"/>
      <c r="T86" s="22"/>
      <c r="U86" s="22"/>
      <c r="V86" s="22"/>
      <c r="W86" s="22"/>
      <c r="X86" s="22"/>
      <c r="Y86" s="22"/>
      <c r="Z86" s="22"/>
      <c r="AA86" s="22"/>
      <c r="AB86" s="22"/>
      <c r="AC86" s="22"/>
      <c r="AD86" s="22"/>
      <c r="AE86" s="22"/>
    </row>
    <row r="87" spans="1:31">
      <c r="A87" s="22"/>
      <c r="B87" s="22"/>
      <c r="C87" s="22"/>
      <c r="D87" s="22"/>
      <c r="E87" s="22"/>
      <c r="F87" s="22"/>
      <c r="G87" s="22"/>
      <c r="H87" s="22"/>
      <c r="I87" s="22"/>
      <c r="J87" s="40"/>
      <c r="K87" s="22"/>
      <c r="L87" s="22"/>
      <c r="M87" s="22"/>
      <c r="N87" s="22"/>
      <c r="O87" s="22"/>
      <c r="P87" s="22"/>
      <c r="Q87" s="22"/>
      <c r="R87" s="22"/>
      <c r="S87" s="22"/>
      <c r="T87" s="22"/>
      <c r="U87" s="22"/>
      <c r="V87" s="22"/>
      <c r="W87" s="22"/>
      <c r="X87" s="22"/>
      <c r="Y87" s="22"/>
      <c r="Z87" s="22"/>
      <c r="AA87" s="22"/>
      <c r="AB87" s="22"/>
      <c r="AC87" s="22"/>
      <c r="AD87" s="22"/>
      <c r="AE87" s="22"/>
    </row>
    <row r="88" spans="1:31">
      <c r="A88" s="22"/>
      <c r="B88" s="22"/>
      <c r="C88" s="22"/>
      <c r="D88" s="22"/>
      <c r="E88" s="22"/>
      <c r="F88" s="22"/>
      <c r="G88" s="22"/>
      <c r="H88" s="22"/>
      <c r="I88" s="22"/>
      <c r="J88" s="40"/>
      <c r="K88" s="22"/>
      <c r="L88" s="22"/>
      <c r="M88" s="22"/>
      <c r="N88" s="22"/>
      <c r="O88" s="22"/>
      <c r="P88" s="22"/>
      <c r="Q88" s="22"/>
      <c r="R88" s="22"/>
      <c r="S88" s="22"/>
      <c r="T88" s="22"/>
      <c r="U88" s="22"/>
      <c r="V88" s="22"/>
      <c r="W88" s="22"/>
      <c r="X88" s="22"/>
      <c r="Y88" s="22"/>
      <c r="Z88" s="22"/>
      <c r="AA88" s="22"/>
      <c r="AB88" s="22"/>
      <c r="AC88" s="22"/>
      <c r="AD88" s="22"/>
      <c r="AE88" s="22"/>
    </row>
    <row r="89" spans="1:31">
      <c r="A89" s="22"/>
      <c r="B89" s="22"/>
      <c r="C89" s="22"/>
      <c r="D89" s="22"/>
      <c r="E89" s="22"/>
      <c r="F89" s="22"/>
      <c r="G89" s="22"/>
      <c r="H89" s="22"/>
      <c r="I89" s="22"/>
      <c r="J89" s="40"/>
      <c r="K89" s="22"/>
      <c r="L89" s="22"/>
      <c r="M89" s="22"/>
      <c r="N89" s="22"/>
      <c r="O89" s="22"/>
      <c r="P89" s="22"/>
      <c r="Q89" s="22"/>
      <c r="R89" s="22"/>
      <c r="S89" s="22"/>
      <c r="T89" s="22"/>
      <c r="U89" s="22"/>
      <c r="V89" s="22"/>
      <c r="W89" s="22"/>
      <c r="X89" s="22"/>
      <c r="Y89" s="22"/>
      <c r="Z89" s="22"/>
      <c r="AA89" s="22"/>
      <c r="AB89" s="22"/>
      <c r="AC89" s="22"/>
      <c r="AD89" s="22"/>
      <c r="AE89" s="22"/>
    </row>
    <row r="90" spans="1:31">
      <c r="A90" s="22"/>
      <c r="B90" s="22"/>
      <c r="C90" s="22"/>
      <c r="D90" s="22"/>
      <c r="E90" s="22"/>
      <c r="F90" s="22"/>
      <c r="G90" s="22"/>
      <c r="H90" s="22"/>
      <c r="I90" s="22"/>
      <c r="J90" s="40"/>
      <c r="K90" s="22"/>
      <c r="L90" s="22"/>
      <c r="M90" s="22"/>
      <c r="N90" s="22"/>
      <c r="O90" s="22"/>
      <c r="P90" s="22"/>
      <c r="Q90" s="22"/>
      <c r="R90" s="22"/>
      <c r="S90" s="22"/>
      <c r="T90" s="22"/>
      <c r="U90" s="22"/>
      <c r="V90" s="22"/>
      <c r="W90" s="22"/>
      <c r="X90" s="22"/>
      <c r="Y90" s="22"/>
      <c r="Z90" s="22"/>
      <c r="AA90" s="22"/>
      <c r="AB90" s="22"/>
      <c r="AC90" s="22"/>
      <c r="AD90" s="22"/>
      <c r="AE90" s="22"/>
    </row>
    <row r="91" spans="1:31">
      <c r="A91" s="22"/>
      <c r="B91" s="22"/>
      <c r="C91" s="22"/>
      <c r="D91" s="22"/>
      <c r="E91" s="22"/>
      <c r="F91" s="22"/>
      <c r="G91" s="22"/>
      <c r="H91" s="22"/>
      <c r="I91" s="22"/>
      <c r="J91" s="40"/>
      <c r="K91" s="22"/>
      <c r="L91" s="22"/>
      <c r="M91" s="22"/>
      <c r="N91" s="22"/>
      <c r="O91" s="22"/>
      <c r="P91" s="22"/>
      <c r="Q91" s="22"/>
      <c r="R91" s="22"/>
      <c r="S91" s="22"/>
      <c r="T91" s="22"/>
      <c r="U91" s="22"/>
      <c r="V91" s="22"/>
      <c r="W91" s="22"/>
      <c r="X91" s="22"/>
      <c r="Y91" s="22"/>
      <c r="Z91" s="22"/>
      <c r="AA91" s="22"/>
      <c r="AB91" s="22"/>
      <c r="AC91" s="22"/>
      <c r="AD91" s="22"/>
      <c r="AE91" s="22"/>
    </row>
    <row r="92" spans="1:31">
      <c r="A92" s="22"/>
      <c r="B92" s="22"/>
      <c r="C92" s="22"/>
      <c r="D92" s="22"/>
      <c r="E92" s="22"/>
      <c r="F92" s="22"/>
      <c r="G92" s="22"/>
      <c r="H92" s="22"/>
      <c r="I92" s="22"/>
      <c r="J92" s="40"/>
      <c r="K92" s="22"/>
      <c r="L92" s="22"/>
      <c r="M92" s="22"/>
      <c r="N92" s="22"/>
      <c r="O92" s="22"/>
      <c r="P92" s="22"/>
      <c r="Q92" s="22"/>
      <c r="R92" s="22"/>
      <c r="S92" s="22"/>
      <c r="T92" s="22"/>
      <c r="U92" s="22"/>
      <c r="V92" s="22"/>
      <c r="W92" s="22"/>
      <c r="X92" s="22"/>
      <c r="Y92" s="22"/>
      <c r="Z92" s="22"/>
      <c r="AA92" s="22"/>
      <c r="AB92" s="22"/>
      <c r="AC92" s="22"/>
      <c r="AD92" s="22"/>
      <c r="AE92" s="22"/>
    </row>
    <row r="93" spans="1:31">
      <c r="A93" s="22"/>
      <c r="B93" s="22"/>
      <c r="C93" s="22"/>
      <c r="D93" s="22"/>
      <c r="E93" s="22"/>
      <c r="F93" s="22"/>
      <c r="G93" s="22"/>
      <c r="H93" s="22"/>
      <c r="I93" s="22"/>
      <c r="J93" s="40"/>
      <c r="K93" s="22"/>
      <c r="L93" s="22"/>
      <c r="M93" s="22"/>
      <c r="N93" s="22"/>
      <c r="O93" s="22"/>
      <c r="P93" s="22"/>
      <c r="Q93" s="22"/>
      <c r="R93" s="22"/>
      <c r="S93" s="22"/>
      <c r="T93" s="22"/>
      <c r="U93" s="22"/>
      <c r="V93" s="22"/>
      <c r="W93" s="22"/>
      <c r="X93" s="22"/>
      <c r="Y93" s="22"/>
      <c r="Z93" s="22"/>
      <c r="AA93" s="22"/>
      <c r="AB93" s="22"/>
      <c r="AC93" s="22"/>
      <c r="AD93" s="22"/>
      <c r="AE93" s="22"/>
    </row>
    <row r="94" spans="1:31">
      <c r="A94" s="22"/>
      <c r="B94" s="22"/>
      <c r="C94" s="22"/>
      <c r="D94" s="22"/>
      <c r="E94" s="22"/>
      <c r="F94" s="22"/>
      <c r="G94" s="22"/>
      <c r="H94" s="22"/>
      <c r="I94" s="22"/>
      <c r="J94" s="40"/>
      <c r="K94" s="22"/>
      <c r="L94" s="22"/>
      <c r="M94" s="22"/>
      <c r="N94" s="22"/>
      <c r="O94" s="22"/>
      <c r="P94" s="22"/>
      <c r="Q94" s="22"/>
      <c r="R94" s="22"/>
      <c r="S94" s="22"/>
      <c r="T94" s="22"/>
      <c r="U94" s="22"/>
      <c r="V94" s="22"/>
      <c r="W94" s="22"/>
      <c r="X94" s="22"/>
      <c r="Y94" s="22"/>
      <c r="Z94" s="22"/>
      <c r="AA94" s="22"/>
      <c r="AB94" s="22"/>
      <c r="AC94" s="22"/>
      <c r="AD94" s="22"/>
      <c r="AE94" s="22"/>
    </row>
    <row r="95" spans="1:31">
      <c r="A95" s="22"/>
      <c r="B95" s="22"/>
      <c r="C95" s="22"/>
      <c r="D95" s="22"/>
      <c r="E95" s="22"/>
      <c r="F95" s="22"/>
      <c r="G95" s="22"/>
      <c r="H95" s="22"/>
      <c r="I95" s="22"/>
      <c r="J95" s="40"/>
      <c r="K95" s="22"/>
      <c r="L95" s="22"/>
      <c r="M95" s="22"/>
      <c r="N95" s="22"/>
      <c r="O95" s="22"/>
      <c r="P95" s="22"/>
      <c r="Q95" s="22"/>
      <c r="R95" s="22"/>
      <c r="S95" s="22"/>
      <c r="T95" s="22"/>
      <c r="U95" s="22"/>
      <c r="V95" s="22"/>
      <c r="W95" s="22"/>
      <c r="X95" s="22"/>
      <c r="Y95" s="22"/>
      <c r="Z95" s="22"/>
      <c r="AA95" s="22"/>
      <c r="AB95" s="22"/>
      <c r="AC95" s="22"/>
      <c r="AD95" s="22"/>
      <c r="AE95" s="22"/>
    </row>
    <row r="96" spans="1:31">
      <c r="A96" s="22"/>
      <c r="B96" s="22"/>
      <c r="C96" s="22"/>
      <c r="D96" s="22"/>
      <c r="E96" s="22"/>
      <c r="F96" s="22"/>
      <c r="G96" s="22"/>
      <c r="H96" s="22"/>
      <c r="I96" s="22"/>
      <c r="J96" s="40"/>
      <c r="K96" s="22"/>
      <c r="L96" s="22"/>
      <c r="M96" s="22"/>
      <c r="N96" s="22"/>
      <c r="O96" s="22"/>
      <c r="P96" s="22"/>
      <c r="Q96" s="22"/>
      <c r="R96" s="22"/>
      <c r="S96" s="22"/>
      <c r="T96" s="22"/>
      <c r="U96" s="22"/>
      <c r="V96" s="22"/>
      <c r="W96" s="22"/>
      <c r="X96" s="22"/>
      <c r="Y96" s="22"/>
      <c r="Z96" s="22"/>
      <c r="AA96" s="22"/>
      <c r="AB96" s="22"/>
      <c r="AC96" s="22"/>
      <c r="AD96" s="22"/>
      <c r="AE96" s="22"/>
    </row>
    <row r="97" spans="1:31">
      <c r="A97" s="22"/>
      <c r="B97" s="22"/>
      <c r="C97" s="22"/>
      <c r="D97" s="22"/>
      <c r="E97" s="22"/>
      <c r="F97" s="22"/>
      <c r="G97" s="22"/>
      <c r="H97" s="22"/>
      <c r="I97" s="22"/>
      <c r="J97" s="40"/>
      <c r="K97" s="22"/>
      <c r="L97" s="22"/>
      <c r="M97" s="22"/>
      <c r="N97" s="22"/>
      <c r="O97" s="22"/>
      <c r="P97" s="22"/>
      <c r="Q97" s="22"/>
      <c r="R97" s="22"/>
      <c r="S97" s="22"/>
      <c r="T97" s="22"/>
      <c r="U97" s="22"/>
      <c r="V97" s="22"/>
      <c r="W97" s="22"/>
      <c r="X97" s="22"/>
      <c r="Y97" s="22"/>
      <c r="Z97" s="22"/>
      <c r="AA97" s="22"/>
      <c r="AB97" s="22"/>
      <c r="AC97" s="22"/>
      <c r="AD97" s="22"/>
      <c r="AE97" s="22"/>
    </row>
    <row r="98" spans="1:31">
      <c r="A98" s="22"/>
      <c r="B98" s="22"/>
      <c r="C98" s="22"/>
      <c r="D98" s="22"/>
      <c r="E98" s="22"/>
      <c r="F98" s="22"/>
      <c r="G98" s="22"/>
      <c r="H98" s="22"/>
      <c r="I98" s="22"/>
      <c r="J98" s="40"/>
      <c r="K98" s="22"/>
      <c r="L98" s="22"/>
      <c r="M98" s="22"/>
      <c r="N98" s="22"/>
      <c r="O98" s="22"/>
      <c r="P98" s="22"/>
      <c r="Q98" s="22"/>
      <c r="R98" s="22"/>
      <c r="S98" s="22"/>
      <c r="T98" s="22"/>
      <c r="U98" s="22"/>
      <c r="V98" s="22"/>
      <c r="W98" s="22"/>
      <c r="X98" s="22"/>
      <c r="Y98" s="22"/>
      <c r="Z98" s="22"/>
      <c r="AA98" s="22"/>
      <c r="AB98" s="22"/>
      <c r="AC98" s="22"/>
      <c r="AD98" s="22"/>
      <c r="AE98" s="22"/>
    </row>
    <row r="99" spans="1:31">
      <c r="A99" s="22"/>
      <c r="B99" s="22"/>
      <c r="C99" s="22"/>
      <c r="D99" s="22"/>
      <c r="E99" s="22"/>
      <c r="F99" s="22"/>
      <c r="G99" s="22"/>
      <c r="H99" s="22"/>
      <c r="I99" s="22"/>
      <c r="J99" s="40"/>
      <c r="K99" s="22"/>
      <c r="L99" s="22"/>
      <c r="M99" s="22"/>
      <c r="N99" s="22"/>
      <c r="O99" s="22"/>
      <c r="P99" s="22"/>
      <c r="Q99" s="22"/>
      <c r="R99" s="22"/>
      <c r="S99" s="22"/>
      <c r="T99" s="22"/>
      <c r="U99" s="22"/>
      <c r="V99" s="22"/>
      <c r="W99" s="22"/>
      <c r="X99" s="22"/>
      <c r="Y99" s="22"/>
      <c r="Z99" s="22"/>
      <c r="AA99" s="22"/>
      <c r="AB99" s="22"/>
      <c r="AC99" s="22"/>
      <c r="AD99" s="22"/>
      <c r="AE99" s="22"/>
    </row>
    <row r="100" spans="1:31">
      <c r="A100" s="22"/>
      <c r="B100" s="22"/>
      <c r="C100" s="22"/>
      <c r="D100" s="22"/>
      <c r="E100" s="22"/>
      <c r="F100" s="22"/>
      <c r="G100" s="22"/>
      <c r="H100" s="22"/>
      <c r="I100" s="22"/>
      <c r="J100" s="40"/>
      <c r="K100" s="22"/>
      <c r="L100" s="22"/>
      <c r="M100" s="22"/>
      <c r="N100" s="22"/>
      <c r="O100" s="22"/>
      <c r="P100" s="22"/>
      <c r="Q100" s="22"/>
      <c r="R100" s="22"/>
      <c r="S100" s="22"/>
      <c r="T100" s="22"/>
      <c r="U100" s="22"/>
      <c r="V100" s="22"/>
      <c r="W100" s="22"/>
      <c r="X100" s="22"/>
      <c r="Y100" s="22"/>
      <c r="Z100" s="22"/>
      <c r="AA100" s="22"/>
      <c r="AB100" s="22"/>
      <c r="AC100" s="22"/>
      <c r="AD100" s="22"/>
      <c r="AE100" s="22"/>
    </row>
    <row r="101" spans="1:31">
      <c r="A101" s="22"/>
      <c r="B101" s="22"/>
      <c r="C101" s="22"/>
      <c r="D101" s="22"/>
      <c r="E101" s="22"/>
      <c r="F101" s="22"/>
      <c r="G101" s="22"/>
      <c r="H101" s="22"/>
      <c r="I101" s="22"/>
      <c r="J101" s="40"/>
      <c r="K101" s="22"/>
      <c r="L101" s="22"/>
      <c r="M101" s="22"/>
      <c r="N101" s="22"/>
      <c r="O101" s="22"/>
      <c r="P101" s="22"/>
      <c r="Q101" s="22"/>
      <c r="R101" s="22"/>
      <c r="S101" s="22"/>
      <c r="T101" s="22"/>
      <c r="U101" s="22"/>
      <c r="V101" s="22"/>
      <c r="W101" s="22"/>
      <c r="X101" s="22"/>
      <c r="Y101" s="22"/>
      <c r="Z101" s="22"/>
      <c r="AA101" s="22"/>
      <c r="AB101" s="22"/>
      <c r="AC101" s="22"/>
      <c r="AD101" s="22"/>
      <c r="AE101" s="22"/>
    </row>
    <row r="102" spans="1:31">
      <c r="A102" s="22"/>
      <c r="B102" s="22"/>
      <c r="C102" s="22"/>
      <c r="D102" s="22"/>
      <c r="E102" s="22"/>
      <c r="F102" s="22"/>
      <c r="G102" s="22"/>
      <c r="H102" s="22"/>
      <c r="I102" s="22"/>
      <c r="J102" s="40"/>
      <c r="K102" s="22"/>
      <c r="L102" s="22"/>
      <c r="M102" s="22"/>
      <c r="N102" s="22"/>
      <c r="O102" s="22"/>
      <c r="P102" s="22"/>
      <c r="Q102" s="22"/>
      <c r="R102" s="22"/>
      <c r="S102" s="22"/>
      <c r="T102" s="22"/>
      <c r="U102" s="22"/>
      <c r="V102" s="22"/>
      <c r="W102" s="22"/>
      <c r="X102" s="22"/>
      <c r="Y102" s="22"/>
      <c r="Z102" s="22"/>
      <c r="AA102" s="22"/>
      <c r="AB102" s="22"/>
      <c r="AC102" s="22"/>
      <c r="AD102" s="22"/>
      <c r="AE102" s="22"/>
    </row>
    <row r="103" spans="1:31">
      <c r="A103" s="22"/>
      <c r="B103" s="22"/>
      <c r="C103" s="22"/>
      <c r="D103" s="22"/>
      <c r="E103" s="22"/>
      <c r="F103" s="22"/>
      <c r="G103" s="22"/>
      <c r="H103" s="22"/>
      <c r="I103" s="22"/>
      <c r="J103" s="40"/>
      <c r="K103" s="22"/>
      <c r="L103" s="22"/>
      <c r="M103" s="22"/>
      <c r="N103" s="22"/>
      <c r="O103" s="22"/>
      <c r="P103" s="22"/>
      <c r="Q103" s="22"/>
      <c r="R103" s="22"/>
      <c r="S103" s="22"/>
      <c r="T103" s="22"/>
      <c r="U103" s="22"/>
      <c r="V103" s="22"/>
      <c r="W103" s="22"/>
      <c r="X103" s="22"/>
      <c r="Y103" s="22"/>
      <c r="Z103" s="22"/>
      <c r="AA103" s="22"/>
      <c r="AB103" s="22"/>
      <c r="AC103" s="22"/>
      <c r="AD103" s="22"/>
      <c r="AE103" s="22"/>
    </row>
    <row r="104" spans="1:31">
      <c r="A104" s="22"/>
      <c r="B104" s="22"/>
      <c r="C104" s="22"/>
      <c r="D104" s="22"/>
      <c r="E104" s="22"/>
      <c r="F104" s="22"/>
      <c r="G104" s="22"/>
      <c r="H104" s="22"/>
      <c r="I104" s="22"/>
      <c r="J104" s="40"/>
      <c r="K104" s="22"/>
      <c r="L104" s="22"/>
      <c r="M104" s="22"/>
      <c r="N104" s="22"/>
      <c r="O104" s="22"/>
      <c r="P104" s="22"/>
      <c r="Q104" s="22"/>
      <c r="R104" s="22"/>
      <c r="S104" s="22"/>
      <c r="T104" s="22"/>
      <c r="U104" s="22"/>
      <c r="V104" s="22"/>
      <c r="W104" s="22"/>
      <c r="X104" s="22"/>
      <c r="Y104" s="22"/>
      <c r="Z104" s="22"/>
      <c r="AA104" s="22"/>
      <c r="AB104" s="22"/>
      <c r="AC104" s="22"/>
      <c r="AD104" s="22"/>
      <c r="AE104" s="22"/>
    </row>
    <row r="105" spans="1:31">
      <c r="A105" s="22"/>
      <c r="B105" s="22"/>
      <c r="C105" s="22"/>
      <c r="D105" s="22"/>
      <c r="E105" s="22"/>
      <c r="F105" s="22"/>
      <c r="G105" s="22"/>
      <c r="H105" s="22"/>
      <c r="I105" s="22"/>
      <c r="J105" s="40"/>
      <c r="K105" s="22"/>
      <c r="L105" s="22"/>
      <c r="M105" s="22"/>
      <c r="N105" s="22"/>
      <c r="O105" s="22"/>
      <c r="P105" s="22"/>
      <c r="Q105" s="22"/>
      <c r="R105" s="22"/>
      <c r="S105" s="22"/>
      <c r="T105" s="22"/>
      <c r="U105" s="22"/>
      <c r="V105" s="22"/>
      <c r="W105" s="22"/>
      <c r="X105" s="22"/>
      <c r="Y105" s="22"/>
      <c r="Z105" s="22"/>
      <c r="AA105" s="22"/>
      <c r="AB105" s="22"/>
      <c r="AC105" s="22"/>
      <c r="AD105" s="22"/>
      <c r="AE105" s="22"/>
    </row>
    <row r="106" spans="1:31">
      <c r="A106" s="22"/>
      <c r="B106" s="22"/>
      <c r="C106" s="22"/>
      <c r="D106" s="22"/>
      <c r="E106" s="22"/>
      <c r="F106" s="22"/>
      <c r="G106" s="22"/>
      <c r="H106" s="22"/>
      <c r="I106" s="22"/>
      <c r="J106" s="40"/>
      <c r="K106" s="22"/>
      <c r="L106" s="22"/>
      <c r="M106" s="22"/>
      <c r="N106" s="22"/>
      <c r="O106" s="22"/>
      <c r="P106" s="22"/>
      <c r="Q106" s="22"/>
      <c r="R106" s="22"/>
      <c r="S106" s="22"/>
      <c r="T106" s="22"/>
      <c r="U106" s="22"/>
      <c r="V106" s="22"/>
      <c r="W106" s="22"/>
      <c r="X106" s="22"/>
      <c r="Y106" s="22"/>
      <c r="Z106" s="22"/>
      <c r="AA106" s="22"/>
      <c r="AB106" s="22"/>
      <c r="AC106" s="22"/>
      <c r="AD106" s="22"/>
      <c r="AE106" s="22"/>
    </row>
    <row r="107" spans="1:31">
      <c r="A107" s="22"/>
      <c r="B107" s="22"/>
      <c r="C107" s="22"/>
      <c r="D107" s="22"/>
      <c r="E107" s="22"/>
      <c r="F107" s="22"/>
      <c r="G107" s="22"/>
      <c r="H107" s="22"/>
      <c r="I107" s="22"/>
      <c r="J107" s="40"/>
      <c r="K107" s="22"/>
      <c r="L107" s="22"/>
      <c r="M107" s="22"/>
      <c r="N107" s="22"/>
      <c r="O107" s="22"/>
      <c r="P107" s="22"/>
      <c r="Q107" s="22"/>
      <c r="R107" s="22"/>
      <c r="S107" s="22"/>
      <c r="T107" s="22"/>
      <c r="U107" s="22"/>
      <c r="V107" s="22"/>
      <c r="W107" s="22"/>
      <c r="X107" s="22"/>
      <c r="Y107" s="22"/>
      <c r="Z107" s="22"/>
      <c r="AA107" s="22"/>
      <c r="AB107" s="22"/>
      <c r="AC107" s="22"/>
      <c r="AD107" s="22"/>
      <c r="AE107" s="22"/>
    </row>
    <row r="108" spans="1:31">
      <c r="A108" s="22"/>
      <c r="B108" s="22"/>
      <c r="C108" s="22"/>
      <c r="D108" s="22"/>
      <c r="E108" s="22"/>
      <c r="F108" s="22"/>
      <c r="G108" s="22"/>
      <c r="H108" s="22"/>
      <c r="I108" s="22"/>
      <c r="J108" s="40"/>
      <c r="K108" s="22"/>
      <c r="L108" s="22"/>
      <c r="M108" s="22"/>
      <c r="N108" s="22"/>
      <c r="O108" s="22"/>
      <c r="P108" s="22"/>
      <c r="Q108" s="22"/>
      <c r="R108" s="22"/>
      <c r="S108" s="22"/>
      <c r="T108" s="22"/>
      <c r="U108" s="22"/>
      <c r="V108" s="22"/>
      <c r="W108" s="22"/>
      <c r="X108" s="22"/>
      <c r="Y108" s="22"/>
      <c r="Z108" s="22"/>
      <c r="AA108" s="22"/>
      <c r="AB108" s="22"/>
      <c r="AC108" s="22"/>
      <c r="AD108" s="22"/>
      <c r="AE108" s="22"/>
    </row>
    <row r="109" spans="1:31">
      <c r="A109" s="22"/>
      <c r="B109" s="22"/>
      <c r="C109" s="22"/>
      <c r="D109" s="22"/>
      <c r="E109" s="22"/>
      <c r="F109" s="22"/>
      <c r="G109" s="22"/>
      <c r="H109" s="22"/>
      <c r="I109" s="22"/>
      <c r="J109" s="40"/>
      <c r="K109" s="22"/>
      <c r="L109" s="22"/>
      <c r="M109" s="22"/>
      <c r="N109" s="22"/>
      <c r="O109" s="22"/>
      <c r="P109" s="22"/>
      <c r="Q109" s="22"/>
      <c r="R109" s="22"/>
      <c r="S109" s="22"/>
      <c r="T109" s="22"/>
      <c r="U109" s="22"/>
      <c r="V109" s="22"/>
      <c r="W109" s="22"/>
      <c r="X109" s="22"/>
      <c r="Y109" s="22"/>
      <c r="Z109" s="22"/>
      <c r="AA109" s="22"/>
      <c r="AB109" s="22"/>
      <c r="AC109" s="22"/>
      <c r="AD109" s="22"/>
      <c r="AE109" s="22"/>
    </row>
    <row r="110" spans="1:31">
      <c r="A110" s="22"/>
      <c r="B110" s="22"/>
      <c r="C110" s="22"/>
      <c r="D110" s="22"/>
      <c r="E110" s="22"/>
      <c r="F110" s="22"/>
      <c r="G110" s="22"/>
      <c r="H110" s="22"/>
      <c r="I110" s="22"/>
      <c r="J110" s="40"/>
      <c r="K110" s="22"/>
      <c r="L110" s="22"/>
      <c r="M110" s="22"/>
      <c r="N110" s="22"/>
      <c r="O110" s="22"/>
      <c r="P110" s="22"/>
      <c r="Q110" s="22"/>
      <c r="R110" s="22"/>
      <c r="S110" s="22"/>
      <c r="T110" s="22"/>
      <c r="U110" s="22"/>
      <c r="V110" s="22"/>
      <c r="W110" s="22"/>
      <c r="X110" s="22"/>
      <c r="Y110" s="22"/>
      <c r="Z110" s="22"/>
      <c r="AA110" s="22"/>
      <c r="AB110" s="22"/>
      <c r="AC110" s="22"/>
      <c r="AD110" s="22"/>
      <c r="AE110" s="22"/>
    </row>
    <row r="111" spans="1:31">
      <c r="A111" s="22"/>
      <c r="B111" s="22"/>
      <c r="C111" s="22"/>
      <c r="D111" s="22"/>
      <c r="E111" s="22"/>
      <c r="F111" s="22"/>
      <c r="G111" s="22"/>
      <c r="H111" s="22"/>
      <c r="I111" s="22"/>
      <c r="J111" s="40"/>
      <c r="K111" s="22"/>
      <c r="L111" s="22"/>
      <c r="M111" s="22"/>
      <c r="N111" s="22"/>
      <c r="O111" s="22"/>
      <c r="P111" s="22"/>
      <c r="Q111" s="22"/>
      <c r="R111" s="22"/>
      <c r="S111" s="22"/>
      <c r="T111" s="22"/>
      <c r="U111" s="22"/>
      <c r="V111" s="22"/>
      <c r="W111" s="22"/>
      <c r="X111" s="22"/>
      <c r="Y111" s="22"/>
      <c r="Z111" s="22"/>
      <c r="AA111" s="22"/>
      <c r="AB111" s="22"/>
      <c r="AC111" s="22"/>
      <c r="AD111" s="22"/>
      <c r="AE111" s="22"/>
    </row>
    <row r="112" spans="1:31">
      <c r="A112" s="22"/>
      <c r="B112" s="22"/>
      <c r="C112" s="22"/>
      <c r="D112" s="22"/>
      <c r="E112" s="22"/>
      <c r="F112" s="22"/>
      <c r="G112" s="22"/>
      <c r="H112" s="22"/>
      <c r="I112" s="22"/>
      <c r="J112" s="40"/>
      <c r="K112" s="22"/>
      <c r="L112" s="22"/>
      <c r="M112" s="22"/>
      <c r="N112" s="22"/>
      <c r="O112" s="22"/>
      <c r="P112" s="22"/>
      <c r="Q112" s="22"/>
      <c r="R112" s="22"/>
      <c r="S112" s="22"/>
      <c r="T112" s="22"/>
      <c r="U112" s="22"/>
      <c r="V112" s="22"/>
      <c r="W112" s="22"/>
      <c r="X112" s="22"/>
      <c r="Y112" s="22"/>
      <c r="Z112" s="22"/>
      <c r="AA112" s="22"/>
      <c r="AB112" s="22"/>
      <c r="AC112" s="22"/>
      <c r="AD112" s="22"/>
      <c r="AE112" s="22"/>
    </row>
    <row r="113" spans="1:31">
      <c r="A113" s="22"/>
      <c r="B113" s="22"/>
      <c r="C113" s="22"/>
      <c r="D113" s="22"/>
      <c r="E113" s="22"/>
      <c r="F113" s="22"/>
      <c r="G113" s="22"/>
      <c r="H113" s="22"/>
      <c r="I113" s="22"/>
      <c r="J113" s="40"/>
      <c r="K113" s="22"/>
      <c r="L113" s="22"/>
      <c r="M113" s="22"/>
      <c r="N113" s="22"/>
      <c r="O113" s="22"/>
      <c r="P113" s="22"/>
      <c r="Q113" s="22"/>
      <c r="R113" s="22"/>
      <c r="S113" s="22"/>
      <c r="T113" s="22"/>
      <c r="U113" s="22"/>
      <c r="V113" s="22"/>
      <c r="W113" s="22"/>
      <c r="X113" s="22"/>
      <c r="Y113" s="22"/>
      <c r="Z113" s="22"/>
      <c r="AA113" s="22"/>
      <c r="AB113" s="22"/>
      <c r="AC113" s="22"/>
      <c r="AD113" s="22"/>
      <c r="AE113" s="22"/>
    </row>
    <row r="114" spans="1:31">
      <c r="A114" s="22"/>
      <c r="B114" s="22"/>
      <c r="C114" s="22"/>
      <c r="D114" s="22"/>
      <c r="E114" s="22"/>
      <c r="F114" s="22"/>
      <c r="G114" s="22"/>
      <c r="H114" s="22"/>
      <c r="I114" s="22"/>
      <c r="J114" s="40"/>
      <c r="K114" s="22"/>
      <c r="L114" s="22"/>
      <c r="M114" s="22"/>
      <c r="N114" s="22"/>
      <c r="O114" s="22"/>
      <c r="P114" s="22"/>
      <c r="Q114" s="22"/>
      <c r="R114" s="22"/>
      <c r="S114" s="22"/>
      <c r="T114" s="22"/>
      <c r="U114" s="22"/>
      <c r="V114" s="22"/>
      <c r="W114" s="22"/>
      <c r="X114" s="22"/>
      <c r="Y114" s="22"/>
      <c r="Z114" s="22"/>
      <c r="AA114" s="22"/>
      <c r="AB114" s="22"/>
      <c r="AC114" s="22"/>
      <c r="AD114" s="22"/>
      <c r="AE114" s="22"/>
    </row>
    <row r="115" spans="1:31">
      <c r="A115" s="22"/>
      <c r="B115" s="22"/>
      <c r="C115" s="22"/>
      <c r="D115" s="22"/>
      <c r="E115" s="22"/>
      <c r="F115" s="22"/>
      <c r="G115" s="22"/>
      <c r="H115" s="22"/>
      <c r="I115" s="22"/>
      <c r="J115" s="40"/>
      <c r="K115" s="22"/>
      <c r="L115" s="22"/>
      <c r="M115" s="22"/>
      <c r="N115" s="22"/>
      <c r="O115" s="22"/>
      <c r="P115" s="22"/>
      <c r="Q115" s="22"/>
      <c r="R115" s="22"/>
      <c r="S115" s="22"/>
      <c r="T115" s="22"/>
      <c r="U115" s="22"/>
      <c r="V115" s="22"/>
      <c r="W115" s="22"/>
      <c r="X115" s="22"/>
      <c r="Y115" s="22"/>
      <c r="Z115" s="22"/>
      <c r="AA115" s="22"/>
      <c r="AB115" s="22"/>
      <c r="AC115" s="22"/>
      <c r="AD115" s="22"/>
      <c r="AE115" s="22"/>
    </row>
    <row r="116" spans="1:31">
      <c r="A116" s="22"/>
      <c r="B116" s="22"/>
      <c r="C116" s="22"/>
      <c r="D116" s="22"/>
      <c r="E116" s="22"/>
      <c r="F116" s="22"/>
      <c r="G116" s="22"/>
      <c r="H116" s="22"/>
      <c r="I116" s="22"/>
      <c r="J116" s="40"/>
      <c r="K116" s="22"/>
      <c r="L116" s="22"/>
      <c r="M116" s="22"/>
      <c r="N116" s="22"/>
      <c r="O116" s="22"/>
      <c r="P116" s="22"/>
      <c r="Q116" s="22"/>
      <c r="R116" s="22"/>
      <c r="S116" s="22"/>
      <c r="T116" s="22"/>
      <c r="U116" s="22"/>
      <c r="V116" s="22"/>
      <c r="W116" s="22"/>
      <c r="X116" s="22"/>
      <c r="Y116" s="22"/>
      <c r="Z116" s="22"/>
      <c r="AA116" s="22"/>
      <c r="AB116" s="22"/>
      <c r="AC116" s="22"/>
      <c r="AD116" s="22"/>
      <c r="AE116" s="22"/>
    </row>
    <row r="117" spans="1:31">
      <c r="A117" s="22"/>
      <c r="B117" s="22"/>
      <c r="C117" s="22"/>
      <c r="D117" s="22"/>
      <c r="E117" s="22"/>
      <c r="F117" s="22"/>
      <c r="G117" s="22"/>
      <c r="H117" s="22"/>
      <c r="I117" s="22"/>
      <c r="J117" s="40"/>
      <c r="K117" s="22"/>
      <c r="L117" s="22"/>
      <c r="M117" s="22"/>
      <c r="N117" s="22"/>
      <c r="O117" s="22"/>
      <c r="P117" s="22"/>
      <c r="Q117" s="22"/>
      <c r="R117" s="22"/>
      <c r="S117" s="22"/>
      <c r="T117" s="22"/>
      <c r="U117" s="22"/>
      <c r="V117" s="22"/>
      <c r="W117" s="22"/>
      <c r="X117" s="22"/>
      <c r="Y117" s="22"/>
      <c r="Z117" s="22"/>
      <c r="AA117" s="22"/>
      <c r="AB117" s="22"/>
      <c r="AC117" s="22"/>
      <c r="AD117" s="22"/>
      <c r="AE117" s="22"/>
    </row>
    <row r="118" spans="1:31">
      <c r="A118" s="22"/>
      <c r="B118" s="22"/>
      <c r="C118" s="22"/>
      <c r="D118" s="22"/>
      <c r="E118" s="22"/>
      <c r="F118" s="22"/>
      <c r="G118" s="22"/>
      <c r="H118" s="22"/>
      <c r="I118" s="22"/>
      <c r="J118" s="40"/>
      <c r="K118" s="22"/>
      <c r="L118" s="22"/>
      <c r="M118" s="22"/>
      <c r="N118" s="22"/>
      <c r="O118" s="22"/>
      <c r="P118" s="22"/>
      <c r="Q118" s="22"/>
      <c r="R118" s="22"/>
      <c r="S118" s="22"/>
      <c r="T118" s="22"/>
      <c r="U118" s="22"/>
      <c r="V118" s="22"/>
      <c r="W118" s="22"/>
      <c r="X118" s="22"/>
      <c r="Y118" s="22"/>
      <c r="Z118" s="22"/>
      <c r="AA118" s="22"/>
      <c r="AB118" s="22"/>
      <c r="AC118" s="22"/>
      <c r="AD118" s="22"/>
      <c r="AE118" s="22"/>
    </row>
    <row r="119" spans="1:31">
      <c r="A119" s="22"/>
      <c r="B119" s="22"/>
      <c r="C119" s="22"/>
      <c r="D119" s="22"/>
      <c r="E119" s="22"/>
      <c r="F119" s="22"/>
      <c r="G119" s="22"/>
      <c r="H119" s="22"/>
      <c r="I119" s="22"/>
      <c r="J119" s="40"/>
      <c r="K119" s="22"/>
      <c r="L119" s="22"/>
      <c r="M119" s="22"/>
      <c r="N119" s="22"/>
      <c r="O119" s="22"/>
      <c r="P119" s="22"/>
      <c r="Q119" s="22"/>
      <c r="R119" s="22"/>
      <c r="S119" s="22"/>
      <c r="T119" s="22"/>
      <c r="U119" s="22"/>
      <c r="V119" s="22"/>
      <c r="W119" s="22"/>
      <c r="X119" s="22"/>
      <c r="Y119" s="22"/>
      <c r="Z119" s="22"/>
      <c r="AA119" s="22"/>
      <c r="AB119" s="22"/>
      <c r="AC119" s="22"/>
      <c r="AD119" s="22"/>
      <c r="AE119" s="22"/>
    </row>
    <row r="120" spans="1:31">
      <c r="A120" s="22"/>
      <c r="B120" s="22"/>
      <c r="C120" s="22"/>
      <c r="D120" s="22"/>
      <c r="E120" s="22"/>
      <c r="F120" s="22"/>
      <c r="G120" s="22"/>
      <c r="H120" s="22"/>
      <c r="I120" s="22"/>
      <c r="J120" s="40"/>
      <c r="K120" s="22"/>
      <c r="L120" s="22"/>
      <c r="M120" s="22"/>
      <c r="N120" s="22"/>
      <c r="O120" s="22"/>
      <c r="P120" s="22"/>
      <c r="Q120" s="22"/>
      <c r="R120" s="22"/>
      <c r="S120" s="22"/>
      <c r="T120" s="22"/>
      <c r="U120" s="22"/>
      <c r="V120" s="22"/>
      <c r="W120" s="22"/>
      <c r="X120" s="22"/>
      <c r="Y120" s="22"/>
      <c r="Z120" s="22"/>
      <c r="AA120" s="22"/>
      <c r="AB120" s="22"/>
      <c r="AC120" s="22"/>
      <c r="AD120" s="22"/>
      <c r="AE120" s="22"/>
    </row>
    <row r="121" spans="1:31">
      <c r="A121" s="22"/>
      <c r="B121" s="22"/>
      <c r="C121" s="22"/>
      <c r="D121" s="22"/>
      <c r="E121" s="22"/>
      <c r="F121" s="22"/>
      <c r="G121" s="22"/>
      <c r="H121" s="22"/>
      <c r="I121" s="22"/>
      <c r="J121" s="40"/>
      <c r="K121" s="22"/>
      <c r="L121" s="22"/>
      <c r="M121" s="22"/>
      <c r="N121" s="22"/>
      <c r="O121" s="22"/>
      <c r="P121" s="22"/>
      <c r="Q121" s="22"/>
      <c r="R121" s="22"/>
      <c r="S121" s="22"/>
      <c r="T121" s="22"/>
      <c r="U121" s="22"/>
      <c r="V121" s="22"/>
      <c r="W121" s="22"/>
      <c r="X121" s="22"/>
      <c r="Y121" s="22"/>
      <c r="Z121" s="22"/>
      <c r="AA121" s="22"/>
      <c r="AB121" s="22"/>
      <c r="AC121" s="22"/>
      <c r="AD121" s="22"/>
      <c r="AE121" s="22"/>
    </row>
    <row r="122" spans="1:31">
      <c r="A122" s="22"/>
      <c r="B122" s="22"/>
      <c r="C122" s="22"/>
      <c r="D122" s="22"/>
      <c r="E122" s="22"/>
      <c r="F122" s="22"/>
      <c r="G122" s="22"/>
      <c r="H122" s="22"/>
      <c r="I122" s="22"/>
      <c r="J122" s="40"/>
      <c r="K122" s="22"/>
      <c r="L122" s="22"/>
      <c r="M122" s="22"/>
      <c r="N122" s="22"/>
      <c r="O122" s="22"/>
      <c r="P122" s="22"/>
      <c r="Q122" s="22"/>
      <c r="R122" s="22"/>
      <c r="S122" s="22"/>
      <c r="T122" s="22"/>
      <c r="U122" s="22"/>
      <c r="V122" s="22"/>
      <c r="W122" s="22"/>
      <c r="X122" s="22"/>
      <c r="Y122" s="22"/>
      <c r="Z122" s="22"/>
      <c r="AA122" s="22"/>
      <c r="AB122" s="22"/>
      <c r="AC122" s="22"/>
      <c r="AD122" s="22"/>
      <c r="AE122" s="22"/>
    </row>
    <row r="123" spans="1:31">
      <c r="A123" s="22"/>
      <c r="B123" s="22"/>
      <c r="C123" s="22"/>
      <c r="D123" s="22"/>
      <c r="E123" s="22"/>
      <c r="F123" s="22"/>
      <c r="G123" s="22"/>
      <c r="H123" s="22"/>
      <c r="I123" s="22"/>
      <c r="J123" s="40"/>
      <c r="K123" s="22"/>
      <c r="L123" s="22"/>
      <c r="M123" s="22"/>
      <c r="N123" s="22"/>
      <c r="O123" s="22"/>
      <c r="P123" s="22"/>
      <c r="Q123" s="22"/>
      <c r="R123" s="22"/>
      <c r="S123" s="22"/>
      <c r="T123" s="22"/>
      <c r="U123" s="22"/>
      <c r="V123" s="22"/>
      <c r="W123" s="22"/>
      <c r="X123" s="22"/>
      <c r="Y123" s="22"/>
      <c r="Z123" s="22"/>
      <c r="AA123" s="22"/>
      <c r="AB123" s="22"/>
      <c r="AC123" s="22"/>
      <c r="AD123" s="22"/>
      <c r="AE123" s="22"/>
    </row>
    <row r="124" spans="1:31">
      <c r="A124" s="22"/>
      <c r="B124" s="22"/>
      <c r="C124" s="22"/>
      <c r="D124" s="22"/>
      <c r="E124" s="22"/>
      <c r="F124" s="22"/>
      <c r="G124" s="22"/>
      <c r="H124" s="22"/>
      <c r="I124" s="22"/>
      <c r="J124" s="40"/>
      <c r="K124" s="22"/>
      <c r="L124" s="22"/>
      <c r="M124" s="22"/>
      <c r="N124" s="22"/>
      <c r="O124" s="22"/>
      <c r="P124" s="22"/>
      <c r="Q124" s="22"/>
      <c r="R124" s="22"/>
      <c r="S124" s="22"/>
      <c r="T124" s="22"/>
      <c r="U124" s="22"/>
      <c r="V124" s="22"/>
      <c r="W124" s="22"/>
      <c r="X124" s="22"/>
      <c r="Y124" s="22"/>
      <c r="Z124" s="22"/>
      <c r="AA124" s="22"/>
      <c r="AB124" s="22"/>
      <c r="AC124" s="22"/>
      <c r="AD124" s="22"/>
      <c r="AE124" s="22"/>
    </row>
    <row r="125" spans="1:31">
      <c r="A125" s="22"/>
      <c r="B125" s="22"/>
      <c r="C125" s="22"/>
      <c r="D125" s="22"/>
      <c r="E125" s="22"/>
      <c r="F125" s="22"/>
      <c r="G125" s="22"/>
      <c r="H125" s="22"/>
      <c r="I125" s="22"/>
      <c r="J125" s="40"/>
      <c r="K125" s="22"/>
      <c r="L125" s="22"/>
      <c r="M125" s="22"/>
      <c r="N125" s="22"/>
      <c r="O125" s="22"/>
      <c r="P125" s="22"/>
      <c r="Q125" s="22"/>
      <c r="R125" s="22"/>
      <c r="S125" s="22"/>
      <c r="T125" s="22"/>
      <c r="U125" s="22"/>
      <c r="V125" s="22"/>
      <c r="W125" s="22"/>
      <c r="X125" s="22"/>
      <c r="Y125" s="22"/>
      <c r="Z125" s="22"/>
      <c r="AA125" s="22"/>
      <c r="AB125" s="22"/>
      <c r="AC125" s="22"/>
      <c r="AD125" s="22"/>
      <c r="AE125" s="22"/>
    </row>
    <row r="126" spans="1:31">
      <c r="A126" s="22"/>
      <c r="B126" s="22"/>
      <c r="C126" s="22"/>
      <c r="D126" s="22"/>
      <c r="E126" s="22"/>
      <c r="F126" s="22"/>
      <c r="G126" s="22"/>
      <c r="H126" s="22"/>
      <c r="I126" s="22"/>
      <c r="J126" s="40"/>
      <c r="K126" s="22"/>
      <c r="L126" s="22"/>
      <c r="M126" s="22"/>
      <c r="N126" s="22"/>
      <c r="O126" s="22"/>
      <c r="P126" s="22"/>
      <c r="Q126" s="22"/>
      <c r="R126" s="22"/>
      <c r="S126" s="22"/>
      <c r="T126" s="22"/>
      <c r="U126" s="22"/>
      <c r="V126" s="22"/>
      <c r="W126" s="22"/>
      <c r="X126" s="22"/>
      <c r="Y126" s="22"/>
      <c r="Z126" s="22"/>
      <c r="AA126" s="22"/>
      <c r="AB126" s="22"/>
      <c r="AC126" s="22"/>
      <c r="AD126" s="22"/>
      <c r="AE126" s="22"/>
    </row>
    <row r="127" spans="1:31">
      <c r="A127" s="22"/>
      <c r="B127" s="22"/>
      <c r="C127" s="22"/>
      <c r="D127" s="22"/>
      <c r="E127" s="22"/>
      <c r="F127" s="22"/>
      <c r="G127" s="22"/>
      <c r="H127" s="22"/>
      <c r="I127" s="22"/>
      <c r="J127" s="40"/>
      <c r="K127" s="22"/>
      <c r="L127" s="22"/>
      <c r="M127" s="22"/>
      <c r="N127" s="22"/>
      <c r="O127" s="22"/>
      <c r="P127" s="22"/>
      <c r="Q127" s="22"/>
      <c r="R127" s="22"/>
      <c r="S127" s="22"/>
      <c r="T127" s="22"/>
      <c r="U127" s="22"/>
      <c r="V127" s="22"/>
      <c r="W127" s="22"/>
      <c r="X127" s="22"/>
      <c r="Y127" s="22"/>
      <c r="Z127" s="22"/>
      <c r="AA127" s="22"/>
      <c r="AB127" s="22"/>
      <c r="AC127" s="22"/>
      <c r="AD127" s="22"/>
      <c r="AE127" s="22"/>
    </row>
    <row r="128" spans="1:31">
      <c r="A128" s="22"/>
      <c r="B128" s="22"/>
      <c r="C128" s="22"/>
      <c r="D128" s="22"/>
      <c r="E128" s="22"/>
      <c r="F128" s="22"/>
      <c r="G128" s="22"/>
      <c r="H128" s="22"/>
      <c r="I128" s="22"/>
      <c r="J128" s="40"/>
      <c r="K128" s="22"/>
      <c r="L128" s="22"/>
      <c r="M128" s="22"/>
      <c r="N128" s="22"/>
      <c r="O128" s="22"/>
      <c r="P128" s="22"/>
      <c r="Q128" s="22"/>
      <c r="R128" s="22"/>
      <c r="S128" s="22"/>
      <c r="T128" s="22"/>
      <c r="U128" s="22"/>
      <c r="V128" s="22"/>
      <c r="W128" s="22"/>
      <c r="X128" s="22"/>
      <c r="Y128" s="22"/>
      <c r="Z128" s="22"/>
      <c r="AA128" s="22"/>
      <c r="AB128" s="22"/>
      <c r="AC128" s="22"/>
      <c r="AD128" s="22"/>
      <c r="AE128" s="22"/>
    </row>
    <row r="129" spans="1:31">
      <c r="A129" s="22"/>
      <c r="B129" s="22"/>
      <c r="C129" s="22"/>
      <c r="D129" s="22"/>
      <c r="E129" s="22"/>
      <c r="F129" s="22"/>
      <c r="G129" s="22"/>
      <c r="H129" s="22"/>
      <c r="I129" s="22"/>
      <c r="J129" s="40"/>
      <c r="K129" s="22"/>
      <c r="L129" s="22"/>
      <c r="M129" s="22"/>
      <c r="N129" s="22"/>
      <c r="O129" s="22"/>
      <c r="P129" s="22"/>
      <c r="Q129" s="22"/>
      <c r="R129" s="22"/>
      <c r="S129" s="22"/>
      <c r="T129" s="22"/>
      <c r="U129" s="22"/>
      <c r="V129" s="22"/>
      <c r="W129" s="22"/>
      <c r="X129" s="22"/>
      <c r="Y129" s="22"/>
      <c r="Z129" s="22"/>
      <c r="AA129" s="22"/>
      <c r="AB129" s="22"/>
      <c r="AC129" s="22"/>
      <c r="AD129" s="22"/>
      <c r="AE129" s="22"/>
    </row>
    <row r="130" spans="1:31">
      <c r="A130" s="22"/>
      <c r="B130" s="22"/>
      <c r="C130" s="22"/>
      <c r="D130" s="22"/>
      <c r="E130" s="22"/>
      <c r="F130" s="22"/>
      <c r="G130" s="22"/>
      <c r="H130" s="22"/>
      <c r="I130" s="22"/>
      <c r="J130" s="40"/>
      <c r="K130" s="22"/>
      <c r="L130" s="22"/>
      <c r="M130" s="22"/>
      <c r="N130" s="22"/>
      <c r="O130" s="22"/>
      <c r="P130" s="22"/>
      <c r="Q130" s="22"/>
      <c r="R130" s="22"/>
      <c r="S130" s="22"/>
      <c r="T130" s="22"/>
      <c r="U130" s="22"/>
      <c r="V130" s="22"/>
      <c r="W130" s="22"/>
      <c r="X130" s="22"/>
      <c r="Y130" s="22"/>
      <c r="Z130" s="22"/>
      <c r="AA130" s="22"/>
      <c r="AB130" s="22"/>
      <c r="AC130" s="22"/>
      <c r="AD130" s="22"/>
      <c r="AE130" s="22"/>
    </row>
    <row r="131" spans="1:31">
      <c r="A131" s="22"/>
      <c r="B131" s="22"/>
      <c r="C131" s="22"/>
      <c r="D131" s="22"/>
      <c r="E131" s="22"/>
      <c r="F131" s="22"/>
      <c r="G131" s="22"/>
      <c r="H131" s="22"/>
      <c r="I131" s="22"/>
      <c r="J131" s="40"/>
      <c r="K131" s="22"/>
      <c r="L131" s="22"/>
      <c r="M131" s="22"/>
      <c r="N131" s="22"/>
      <c r="O131" s="22"/>
      <c r="P131" s="22"/>
      <c r="Q131" s="22"/>
      <c r="R131" s="22"/>
      <c r="S131" s="22"/>
      <c r="T131" s="22"/>
      <c r="U131" s="22"/>
      <c r="V131" s="22"/>
      <c r="W131" s="22"/>
      <c r="X131" s="22"/>
      <c r="Y131" s="22"/>
      <c r="Z131" s="22"/>
      <c r="AA131" s="22"/>
      <c r="AB131" s="22"/>
      <c r="AC131" s="22"/>
      <c r="AD131" s="22"/>
      <c r="AE131" s="22"/>
    </row>
    <row r="132" spans="1:31">
      <c r="A132" s="22"/>
      <c r="B132" s="22"/>
      <c r="C132" s="22"/>
      <c r="D132" s="22"/>
      <c r="E132" s="22"/>
      <c r="F132" s="22"/>
      <c r="G132" s="22"/>
      <c r="H132" s="22"/>
      <c r="I132" s="22"/>
      <c r="J132" s="40"/>
      <c r="K132" s="22"/>
      <c r="L132" s="22"/>
      <c r="M132" s="22"/>
      <c r="N132" s="22"/>
      <c r="O132" s="22"/>
      <c r="P132" s="22"/>
      <c r="Q132" s="22"/>
      <c r="R132" s="22"/>
      <c r="S132" s="22"/>
      <c r="T132" s="22"/>
      <c r="U132" s="22"/>
      <c r="V132" s="22"/>
      <c r="W132" s="22"/>
      <c r="X132" s="22"/>
      <c r="Y132" s="22"/>
      <c r="Z132" s="22"/>
      <c r="AA132" s="22"/>
      <c r="AB132" s="22"/>
      <c r="AC132" s="22"/>
      <c r="AD132" s="22"/>
      <c r="AE132" s="22"/>
    </row>
    <row r="133" spans="1:31">
      <c r="A133" s="22"/>
      <c r="B133" s="22"/>
      <c r="C133" s="22"/>
      <c r="D133" s="22"/>
      <c r="E133" s="22"/>
      <c r="F133" s="22"/>
      <c r="G133" s="22"/>
      <c r="H133" s="22"/>
      <c r="I133" s="22"/>
      <c r="J133" s="40"/>
      <c r="K133" s="22"/>
      <c r="L133" s="22"/>
      <c r="M133" s="22"/>
      <c r="N133" s="22"/>
      <c r="O133" s="22"/>
      <c r="P133" s="22"/>
      <c r="Q133" s="22"/>
      <c r="R133" s="22"/>
      <c r="S133" s="22"/>
      <c r="T133" s="22"/>
      <c r="U133" s="22"/>
      <c r="V133" s="22"/>
      <c r="W133" s="22"/>
      <c r="X133" s="22"/>
      <c r="Y133" s="22"/>
      <c r="Z133" s="22"/>
      <c r="AA133" s="22"/>
      <c r="AB133" s="22"/>
      <c r="AC133" s="22"/>
      <c r="AD133" s="22"/>
      <c r="AE133" s="22"/>
    </row>
    <row r="134" spans="1:31">
      <c r="A134" s="22"/>
      <c r="B134" s="22"/>
      <c r="C134" s="22"/>
      <c r="D134" s="22"/>
      <c r="E134" s="22"/>
      <c r="F134" s="22"/>
      <c r="G134" s="22"/>
      <c r="H134" s="22"/>
      <c r="I134" s="22"/>
      <c r="J134" s="40"/>
      <c r="K134" s="22"/>
      <c r="L134" s="22"/>
      <c r="M134" s="22"/>
      <c r="N134" s="22"/>
      <c r="O134" s="22"/>
      <c r="P134" s="22"/>
      <c r="Q134" s="22"/>
      <c r="R134" s="22"/>
      <c r="S134" s="22"/>
      <c r="T134" s="22"/>
      <c r="U134" s="22"/>
      <c r="V134" s="22"/>
      <c r="W134" s="22"/>
      <c r="X134" s="22"/>
      <c r="Y134" s="22"/>
      <c r="Z134" s="22"/>
      <c r="AA134" s="22"/>
      <c r="AB134" s="22"/>
      <c r="AC134" s="22"/>
      <c r="AD134" s="22"/>
      <c r="AE134" s="22"/>
    </row>
    <row r="135" spans="1:31">
      <c r="A135" s="22"/>
      <c r="B135" s="22"/>
      <c r="C135" s="22"/>
      <c r="D135" s="22"/>
      <c r="E135" s="22"/>
      <c r="F135" s="22"/>
      <c r="G135" s="22"/>
      <c r="H135" s="22"/>
      <c r="I135" s="22"/>
      <c r="J135" s="40"/>
      <c r="K135" s="22"/>
      <c r="L135" s="22"/>
      <c r="M135" s="22"/>
      <c r="N135" s="22"/>
      <c r="O135" s="22"/>
      <c r="P135" s="22"/>
      <c r="Q135" s="22"/>
      <c r="R135" s="22"/>
      <c r="S135" s="22"/>
      <c r="T135" s="22"/>
      <c r="U135" s="22"/>
      <c r="V135" s="22"/>
      <c r="W135" s="22"/>
      <c r="X135" s="22"/>
      <c r="Y135" s="22"/>
      <c r="Z135" s="22"/>
      <c r="AA135" s="22"/>
      <c r="AB135" s="22"/>
      <c r="AC135" s="22"/>
      <c r="AD135" s="22"/>
      <c r="AE135" s="22"/>
    </row>
    <row r="136" spans="1:31">
      <c r="A136" s="22"/>
      <c r="B136" s="22"/>
      <c r="C136" s="22"/>
      <c r="D136" s="22"/>
      <c r="E136" s="22"/>
      <c r="F136" s="22"/>
      <c r="G136" s="22"/>
      <c r="H136" s="22"/>
      <c r="I136" s="22"/>
      <c r="J136" s="40"/>
      <c r="K136" s="22"/>
      <c r="L136" s="22"/>
      <c r="M136" s="22"/>
      <c r="N136" s="22"/>
      <c r="O136" s="22"/>
      <c r="P136" s="22"/>
      <c r="Q136" s="22"/>
      <c r="R136" s="22"/>
      <c r="S136" s="22"/>
      <c r="T136" s="22"/>
      <c r="U136" s="22"/>
      <c r="V136" s="22"/>
      <c r="W136" s="22"/>
      <c r="X136" s="22"/>
      <c r="Y136" s="22"/>
      <c r="Z136" s="22"/>
      <c r="AA136" s="22"/>
      <c r="AB136" s="22"/>
      <c r="AC136" s="22"/>
      <c r="AD136" s="22"/>
      <c r="AE136" s="22"/>
    </row>
    <row r="137" spans="1:31">
      <c r="A137" s="22"/>
      <c r="B137" s="22"/>
      <c r="C137" s="22"/>
      <c r="D137" s="22"/>
      <c r="E137" s="22"/>
      <c r="F137" s="22"/>
      <c r="G137" s="22"/>
      <c r="H137" s="22"/>
      <c r="I137" s="22"/>
      <c r="J137" s="40"/>
      <c r="K137" s="22"/>
      <c r="L137" s="22"/>
      <c r="M137" s="22"/>
      <c r="N137" s="22"/>
      <c r="O137" s="22"/>
      <c r="P137" s="22"/>
      <c r="Q137" s="22"/>
      <c r="R137" s="22"/>
      <c r="S137" s="22"/>
      <c r="T137" s="22"/>
      <c r="U137" s="22"/>
      <c r="V137" s="22"/>
      <c r="W137" s="22"/>
      <c r="X137" s="22"/>
      <c r="Y137" s="22"/>
      <c r="Z137" s="22"/>
      <c r="AA137" s="22"/>
      <c r="AB137" s="22"/>
      <c r="AC137" s="22"/>
      <c r="AD137" s="22"/>
      <c r="AE137" s="22"/>
    </row>
    <row r="138" spans="1:31">
      <c r="A138" s="22"/>
      <c r="B138" s="22"/>
      <c r="C138" s="22"/>
      <c r="D138" s="22"/>
      <c r="E138" s="22"/>
      <c r="F138" s="22"/>
      <c r="G138" s="22"/>
      <c r="H138" s="22"/>
      <c r="I138" s="22"/>
      <c r="J138" s="40"/>
      <c r="K138" s="22"/>
      <c r="L138" s="22"/>
      <c r="M138" s="22"/>
      <c r="N138" s="22"/>
      <c r="O138" s="22"/>
      <c r="P138" s="22"/>
      <c r="Q138" s="22"/>
      <c r="R138" s="22"/>
      <c r="S138" s="22"/>
      <c r="T138" s="22"/>
      <c r="U138" s="22"/>
      <c r="V138" s="22"/>
      <c r="W138" s="22"/>
      <c r="X138" s="22"/>
      <c r="Y138" s="22"/>
      <c r="Z138" s="22"/>
      <c r="AA138" s="22"/>
      <c r="AB138" s="22"/>
      <c r="AC138" s="22"/>
      <c r="AD138" s="22"/>
      <c r="AE138" s="22"/>
    </row>
    <row r="139" spans="1:31">
      <c r="A139" s="22"/>
      <c r="B139" s="22"/>
      <c r="C139" s="22"/>
      <c r="D139" s="22"/>
      <c r="E139" s="22"/>
      <c r="F139" s="22"/>
      <c r="G139" s="22"/>
      <c r="H139" s="22"/>
      <c r="I139" s="22"/>
      <c r="J139" s="40"/>
      <c r="K139" s="22"/>
      <c r="L139" s="22"/>
      <c r="M139" s="22"/>
      <c r="N139" s="22"/>
      <c r="O139" s="22"/>
      <c r="P139" s="22"/>
      <c r="Q139" s="22"/>
      <c r="R139" s="22"/>
      <c r="S139" s="22"/>
      <c r="T139" s="22"/>
      <c r="U139" s="22"/>
      <c r="V139" s="22"/>
      <c r="W139" s="22"/>
      <c r="X139" s="22"/>
      <c r="Y139" s="22"/>
      <c r="Z139" s="22"/>
      <c r="AA139" s="22"/>
      <c r="AB139" s="22"/>
      <c r="AC139" s="22"/>
      <c r="AD139" s="22"/>
      <c r="AE139" s="22"/>
    </row>
    <row r="140" spans="1:31">
      <c r="A140" s="22"/>
      <c r="B140" s="22"/>
      <c r="C140" s="22"/>
      <c r="D140" s="22"/>
      <c r="E140" s="22"/>
      <c r="F140" s="22"/>
      <c r="G140" s="22"/>
      <c r="H140" s="22"/>
      <c r="I140" s="22"/>
      <c r="J140" s="40"/>
      <c r="K140" s="22"/>
      <c r="L140" s="22"/>
      <c r="M140" s="22"/>
      <c r="N140" s="22"/>
      <c r="O140" s="22"/>
      <c r="P140" s="22"/>
      <c r="Q140" s="22"/>
      <c r="R140" s="22"/>
      <c r="S140" s="22"/>
      <c r="T140" s="22"/>
      <c r="U140" s="22"/>
      <c r="V140" s="22"/>
      <c r="W140" s="22"/>
      <c r="X140" s="22"/>
      <c r="Y140" s="22"/>
      <c r="Z140" s="22"/>
      <c r="AA140" s="22"/>
      <c r="AB140" s="22"/>
      <c r="AC140" s="22"/>
      <c r="AD140" s="22"/>
      <c r="AE140" s="22"/>
    </row>
    <row r="141" spans="1:31">
      <c r="A141" s="22"/>
      <c r="B141" s="22"/>
      <c r="C141" s="22"/>
      <c r="D141" s="22"/>
      <c r="E141" s="22"/>
      <c r="F141" s="22"/>
      <c r="G141" s="22"/>
      <c r="H141" s="22"/>
      <c r="I141" s="22"/>
      <c r="J141" s="40"/>
      <c r="K141" s="22"/>
      <c r="L141" s="22"/>
      <c r="M141" s="22"/>
      <c r="N141" s="22"/>
      <c r="O141" s="22"/>
      <c r="P141" s="22"/>
      <c r="Q141" s="22"/>
      <c r="R141" s="22"/>
      <c r="S141" s="22"/>
      <c r="T141" s="22"/>
      <c r="U141" s="22"/>
      <c r="V141" s="22"/>
      <c r="W141" s="22"/>
      <c r="X141" s="22"/>
      <c r="Y141" s="22"/>
      <c r="Z141" s="22"/>
      <c r="AA141" s="22"/>
      <c r="AB141" s="22"/>
      <c r="AC141" s="22"/>
      <c r="AD141" s="22"/>
      <c r="AE141" s="22"/>
    </row>
    <row r="142" spans="1:31">
      <c r="A142" s="22"/>
      <c r="B142" s="22"/>
      <c r="C142" s="22"/>
      <c r="D142" s="22"/>
      <c r="E142" s="22"/>
      <c r="F142" s="22"/>
      <c r="G142" s="22"/>
      <c r="H142" s="22"/>
      <c r="I142" s="22"/>
      <c r="J142" s="40"/>
      <c r="K142" s="22"/>
      <c r="L142" s="22"/>
      <c r="M142" s="22"/>
      <c r="N142" s="22"/>
      <c r="O142" s="22"/>
      <c r="P142" s="22"/>
      <c r="Q142" s="22"/>
      <c r="R142" s="22"/>
      <c r="S142" s="22"/>
      <c r="T142" s="22"/>
      <c r="U142" s="22"/>
      <c r="V142" s="22"/>
      <c r="W142" s="22"/>
      <c r="X142" s="22"/>
      <c r="Y142" s="22"/>
      <c r="Z142" s="22"/>
      <c r="AA142" s="22"/>
      <c r="AB142" s="22"/>
      <c r="AC142" s="22"/>
      <c r="AD142" s="22"/>
      <c r="AE142" s="22"/>
    </row>
    <row r="143" spans="1:31">
      <c r="A143" s="22"/>
      <c r="B143" s="22"/>
      <c r="C143" s="22"/>
      <c r="D143" s="22"/>
      <c r="E143" s="22"/>
      <c r="F143" s="22"/>
      <c r="G143" s="22"/>
      <c r="H143" s="22"/>
      <c r="I143" s="22"/>
      <c r="J143" s="40"/>
      <c r="K143" s="22"/>
      <c r="L143" s="22"/>
      <c r="M143" s="22"/>
      <c r="N143" s="22"/>
      <c r="O143" s="22"/>
      <c r="P143" s="22"/>
      <c r="Q143" s="22"/>
      <c r="R143" s="22"/>
      <c r="S143" s="22"/>
      <c r="T143" s="22"/>
      <c r="U143" s="22"/>
      <c r="V143" s="22"/>
      <c r="W143" s="22"/>
      <c r="X143" s="22"/>
      <c r="Y143" s="22"/>
      <c r="Z143" s="22"/>
      <c r="AA143" s="22"/>
      <c r="AB143" s="22"/>
      <c r="AC143" s="22"/>
      <c r="AD143" s="22"/>
      <c r="AE143" s="22"/>
    </row>
    <row r="144" spans="1:31">
      <c r="A144" s="22"/>
      <c r="B144" s="22"/>
      <c r="C144" s="22"/>
      <c r="D144" s="22"/>
      <c r="E144" s="22"/>
      <c r="F144" s="22"/>
      <c r="G144" s="22"/>
      <c r="H144" s="22"/>
      <c r="I144" s="22"/>
      <c r="J144" s="40"/>
      <c r="K144" s="22"/>
      <c r="L144" s="22"/>
      <c r="M144" s="22"/>
      <c r="N144" s="22"/>
      <c r="O144" s="22"/>
      <c r="P144" s="22"/>
      <c r="Q144" s="22"/>
      <c r="R144" s="22"/>
      <c r="S144" s="22"/>
      <c r="T144" s="22"/>
      <c r="U144" s="22"/>
      <c r="V144" s="22"/>
      <c r="W144" s="22"/>
      <c r="X144" s="22"/>
      <c r="Y144" s="22"/>
      <c r="Z144" s="22"/>
      <c r="AA144" s="22"/>
      <c r="AB144" s="22"/>
      <c r="AC144" s="22"/>
      <c r="AD144" s="22"/>
      <c r="AE144" s="22"/>
    </row>
    <row r="145" spans="1:31">
      <c r="A145" s="22"/>
      <c r="B145" s="22"/>
      <c r="C145" s="22"/>
      <c r="D145" s="22"/>
      <c r="E145" s="22"/>
      <c r="F145" s="22"/>
      <c r="G145" s="22"/>
      <c r="H145" s="22"/>
      <c r="I145" s="22"/>
      <c r="J145" s="40"/>
      <c r="K145" s="22"/>
      <c r="L145" s="22"/>
      <c r="M145" s="22"/>
      <c r="N145" s="22"/>
      <c r="O145" s="22"/>
      <c r="P145" s="22"/>
      <c r="Q145" s="22"/>
      <c r="R145" s="22"/>
      <c r="S145" s="22"/>
      <c r="T145" s="22"/>
      <c r="U145" s="22"/>
      <c r="V145" s="22"/>
      <c r="W145" s="22"/>
      <c r="X145" s="22"/>
      <c r="Y145" s="22"/>
      <c r="Z145" s="22"/>
      <c r="AA145" s="22"/>
      <c r="AB145" s="22"/>
      <c r="AC145" s="22"/>
      <c r="AD145" s="22"/>
      <c r="AE145" s="22"/>
    </row>
    <row r="146" spans="1:31">
      <c r="A146" s="22"/>
      <c r="B146" s="22"/>
      <c r="C146" s="22"/>
      <c r="D146" s="22"/>
      <c r="E146" s="22"/>
      <c r="F146" s="22"/>
      <c r="G146" s="22"/>
      <c r="H146" s="22"/>
      <c r="I146" s="22"/>
      <c r="J146" s="40"/>
      <c r="K146" s="22"/>
      <c r="L146" s="22"/>
      <c r="M146" s="22"/>
      <c r="N146" s="22"/>
      <c r="O146" s="22"/>
      <c r="P146" s="22"/>
      <c r="Q146" s="22"/>
      <c r="R146" s="22"/>
      <c r="S146" s="22"/>
      <c r="T146" s="22"/>
      <c r="U146" s="22"/>
      <c r="V146" s="22"/>
      <c r="W146" s="22"/>
      <c r="X146" s="22"/>
      <c r="Y146" s="22"/>
      <c r="Z146" s="22"/>
      <c r="AA146" s="22"/>
      <c r="AB146" s="22"/>
      <c r="AC146" s="22"/>
      <c r="AD146" s="22"/>
      <c r="AE146" s="22"/>
    </row>
    <row r="147" spans="1:31">
      <c r="A147" s="22"/>
      <c r="B147" s="22"/>
      <c r="C147" s="22"/>
      <c r="D147" s="22"/>
      <c r="E147" s="22"/>
      <c r="F147" s="22"/>
      <c r="G147" s="22"/>
      <c r="H147" s="22"/>
      <c r="I147" s="22"/>
      <c r="J147" s="40"/>
      <c r="K147" s="22"/>
      <c r="L147" s="22"/>
      <c r="M147" s="22"/>
      <c r="N147" s="22"/>
      <c r="O147" s="22"/>
      <c r="P147" s="22"/>
      <c r="Q147" s="22"/>
      <c r="R147" s="22"/>
      <c r="S147" s="22"/>
      <c r="T147" s="22"/>
      <c r="U147" s="22"/>
      <c r="V147" s="22"/>
      <c r="W147" s="22"/>
      <c r="X147" s="22"/>
      <c r="Y147" s="22"/>
      <c r="Z147" s="22"/>
      <c r="AA147" s="22"/>
      <c r="AB147" s="22"/>
      <c r="AC147" s="22"/>
      <c r="AD147" s="22"/>
      <c r="AE147" s="22"/>
    </row>
    <row r="148" spans="1:31">
      <c r="A148" s="22"/>
      <c r="B148" s="22"/>
      <c r="C148" s="22"/>
      <c r="D148" s="22"/>
      <c r="E148" s="22"/>
      <c r="F148" s="22"/>
      <c r="G148" s="22"/>
      <c r="H148" s="22"/>
      <c r="I148" s="22"/>
      <c r="J148" s="40"/>
      <c r="K148" s="22"/>
      <c r="L148" s="22"/>
      <c r="M148" s="22"/>
      <c r="N148" s="22"/>
      <c r="O148" s="22"/>
      <c r="P148" s="22"/>
      <c r="Q148" s="22"/>
      <c r="R148" s="22"/>
      <c r="S148" s="22"/>
      <c r="T148" s="22"/>
      <c r="U148" s="22"/>
      <c r="V148" s="22"/>
      <c r="W148" s="22"/>
      <c r="X148" s="22"/>
      <c r="Y148" s="22"/>
      <c r="Z148" s="22"/>
      <c r="AA148" s="22"/>
      <c r="AB148" s="22"/>
      <c r="AC148" s="22"/>
      <c r="AD148" s="22"/>
      <c r="AE148" s="22"/>
    </row>
    <row r="149" spans="1:31">
      <c r="A149" s="22"/>
      <c r="B149" s="22"/>
      <c r="C149" s="22"/>
      <c r="D149" s="22"/>
      <c r="E149" s="22"/>
      <c r="F149" s="22"/>
      <c r="G149" s="22"/>
      <c r="H149" s="22"/>
      <c r="I149" s="22"/>
      <c r="J149" s="40"/>
      <c r="K149" s="22"/>
      <c r="L149" s="22"/>
      <c r="M149" s="22"/>
      <c r="N149" s="22"/>
      <c r="O149" s="22"/>
      <c r="P149" s="22"/>
      <c r="Q149" s="22"/>
      <c r="R149" s="22"/>
      <c r="S149" s="22"/>
      <c r="T149" s="22"/>
      <c r="U149" s="22"/>
      <c r="V149" s="22"/>
      <c r="W149" s="22"/>
      <c r="X149" s="22"/>
      <c r="Y149" s="22"/>
      <c r="Z149" s="22"/>
      <c r="AA149" s="22"/>
      <c r="AB149" s="22"/>
      <c r="AC149" s="22"/>
      <c r="AD149" s="22"/>
      <c r="AE149" s="22"/>
    </row>
    <row r="150" spans="1:31">
      <c r="A150" s="22"/>
      <c r="B150" s="22"/>
      <c r="C150" s="22"/>
      <c r="D150" s="22"/>
      <c r="E150" s="22"/>
      <c r="F150" s="22"/>
      <c r="G150" s="22"/>
      <c r="H150" s="22"/>
      <c r="I150" s="22"/>
      <c r="J150" s="40"/>
      <c r="K150" s="22"/>
      <c r="L150" s="22"/>
      <c r="M150" s="22"/>
      <c r="N150" s="22"/>
      <c r="O150" s="22"/>
      <c r="P150" s="22"/>
      <c r="Q150" s="22"/>
      <c r="R150" s="22"/>
      <c r="S150" s="22"/>
      <c r="T150" s="22"/>
      <c r="U150" s="22"/>
      <c r="V150" s="22"/>
      <c r="W150" s="22"/>
      <c r="X150" s="22"/>
      <c r="Y150" s="22"/>
      <c r="Z150" s="22"/>
      <c r="AA150" s="22"/>
      <c r="AB150" s="22"/>
      <c r="AC150" s="22"/>
      <c r="AD150" s="22"/>
      <c r="AE150" s="22"/>
    </row>
    <row r="151" spans="1:31">
      <c r="A151" s="22"/>
      <c r="B151" s="22"/>
      <c r="C151" s="22"/>
      <c r="D151" s="22"/>
      <c r="E151" s="22"/>
      <c r="F151" s="22"/>
      <c r="G151" s="22"/>
      <c r="H151" s="22"/>
      <c r="I151" s="22"/>
      <c r="J151" s="40"/>
      <c r="K151" s="22"/>
      <c r="L151" s="22"/>
      <c r="M151" s="22"/>
      <c r="N151" s="22"/>
      <c r="O151" s="22"/>
      <c r="P151" s="22"/>
      <c r="Q151" s="22"/>
      <c r="R151" s="22"/>
      <c r="S151" s="22"/>
      <c r="T151" s="22"/>
      <c r="U151" s="22"/>
      <c r="V151" s="22"/>
      <c r="W151" s="22"/>
      <c r="X151" s="22"/>
      <c r="Y151" s="22"/>
      <c r="Z151" s="22"/>
      <c r="AA151" s="22"/>
      <c r="AB151" s="22"/>
      <c r="AC151" s="22"/>
      <c r="AD151" s="22"/>
      <c r="AE151" s="22"/>
    </row>
    <row r="152" spans="1:31">
      <c r="A152" s="22"/>
      <c r="B152" s="22"/>
      <c r="C152" s="22"/>
      <c r="D152" s="22"/>
      <c r="E152" s="22"/>
      <c r="F152" s="22"/>
      <c r="G152" s="22"/>
      <c r="H152" s="22"/>
      <c r="I152" s="22"/>
      <c r="J152" s="40"/>
      <c r="K152" s="22"/>
      <c r="L152" s="22"/>
      <c r="M152" s="22"/>
      <c r="N152" s="22"/>
      <c r="O152" s="22"/>
      <c r="P152" s="22"/>
      <c r="Q152" s="22"/>
      <c r="R152" s="22"/>
      <c r="S152" s="22"/>
      <c r="T152" s="22"/>
      <c r="U152" s="22"/>
      <c r="V152" s="22"/>
      <c r="W152" s="22"/>
      <c r="X152" s="22"/>
      <c r="Y152" s="22"/>
      <c r="Z152" s="22"/>
      <c r="AA152" s="22"/>
      <c r="AB152" s="22"/>
      <c r="AC152" s="22"/>
      <c r="AD152" s="22"/>
      <c r="AE152" s="22"/>
    </row>
    <row r="153" spans="1:31">
      <c r="A153" s="22"/>
      <c r="B153" s="22"/>
      <c r="C153" s="22"/>
      <c r="D153" s="22"/>
      <c r="E153" s="22"/>
      <c r="F153" s="22"/>
      <c r="G153" s="22"/>
      <c r="H153" s="22"/>
      <c r="I153" s="22"/>
      <c r="J153" s="40"/>
      <c r="K153" s="22"/>
      <c r="L153" s="22"/>
      <c r="M153" s="22"/>
      <c r="N153" s="22"/>
      <c r="O153" s="22"/>
      <c r="P153" s="22"/>
      <c r="Q153" s="22"/>
      <c r="R153" s="22"/>
      <c r="S153" s="22"/>
      <c r="T153" s="22"/>
      <c r="U153" s="22"/>
      <c r="V153" s="22"/>
      <c r="W153" s="22"/>
      <c r="X153" s="22"/>
      <c r="Y153" s="22"/>
      <c r="Z153" s="22"/>
      <c r="AA153" s="22"/>
      <c r="AB153" s="22"/>
      <c r="AC153" s="22"/>
      <c r="AD153" s="22"/>
      <c r="AE153" s="22"/>
    </row>
    <row r="154" spans="1:31">
      <c r="A154" s="22"/>
      <c r="B154" s="22"/>
      <c r="C154" s="22"/>
      <c r="D154" s="22"/>
      <c r="E154" s="22"/>
      <c r="F154" s="22"/>
      <c r="G154" s="22"/>
      <c r="H154" s="22"/>
      <c r="I154" s="22"/>
      <c r="J154" s="40"/>
      <c r="K154" s="22"/>
      <c r="L154" s="22"/>
      <c r="M154" s="22"/>
      <c r="N154" s="22"/>
      <c r="O154" s="22"/>
      <c r="P154" s="22"/>
      <c r="Q154" s="22"/>
      <c r="R154" s="22"/>
      <c r="S154" s="22"/>
      <c r="T154" s="22"/>
      <c r="U154" s="22"/>
      <c r="V154" s="22"/>
      <c r="W154" s="22"/>
      <c r="X154" s="22"/>
      <c r="Y154" s="22"/>
      <c r="Z154" s="22"/>
      <c r="AA154" s="22"/>
      <c r="AB154" s="22"/>
      <c r="AC154" s="22"/>
      <c r="AD154" s="22"/>
      <c r="AE154" s="22"/>
    </row>
    <row r="155" spans="1:31">
      <c r="A155" s="22"/>
      <c r="B155" s="22"/>
      <c r="C155" s="22"/>
      <c r="D155" s="22"/>
      <c r="E155" s="22"/>
      <c r="F155" s="22"/>
      <c r="G155" s="22"/>
      <c r="H155" s="22"/>
      <c r="I155" s="22"/>
      <c r="J155" s="40"/>
      <c r="K155" s="22"/>
      <c r="L155" s="22"/>
      <c r="M155" s="22"/>
      <c r="N155" s="22"/>
      <c r="O155" s="22"/>
      <c r="P155" s="22"/>
      <c r="Q155" s="22"/>
      <c r="R155" s="22"/>
      <c r="S155" s="22"/>
      <c r="T155" s="22"/>
      <c r="U155" s="22"/>
      <c r="V155" s="22"/>
      <c r="W155" s="22"/>
      <c r="X155" s="22"/>
      <c r="Y155" s="22"/>
      <c r="Z155" s="22"/>
      <c r="AA155" s="22"/>
      <c r="AB155" s="22"/>
      <c r="AC155" s="22"/>
      <c r="AD155" s="22"/>
      <c r="AE155" s="22"/>
    </row>
    <row r="156" spans="1:31">
      <c r="A156" s="22"/>
      <c r="B156" s="22"/>
      <c r="C156" s="22"/>
      <c r="D156" s="22"/>
      <c r="E156" s="22"/>
      <c r="F156" s="22"/>
      <c r="G156" s="22"/>
      <c r="H156" s="22"/>
      <c r="I156" s="22"/>
      <c r="J156" s="40"/>
      <c r="K156" s="22"/>
      <c r="L156" s="22"/>
      <c r="M156" s="22"/>
      <c r="N156" s="22"/>
      <c r="O156" s="22"/>
      <c r="P156" s="22"/>
      <c r="Q156" s="22"/>
      <c r="R156" s="22"/>
      <c r="S156" s="22"/>
      <c r="T156" s="22"/>
      <c r="U156" s="22"/>
      <c r="V156" s="22"/>
      <c r="W156" s="22"/>
      <c r="X156" s="22"/>
      <c r="Y156" s="22"/>
      <c r="Z156" s="22"/>
      <c r="AA156" s="22"/>
      <c r="AB156" s="22"/>
      <c r="AC156" s="22"/>
      <c r="AD156" s="22"/>
      <c r="AE156" s="22"/>
    </row>
    <row r="157" spans="1:31">
      <c r="A157" s="22"/>
      <c r="B157" s="22"/>
      <c r="C157" s="22"/>
      <c r="D157" s="22"/>
      <c r="E157" s="22"/>
      <c r="F157" s="22"/>
      <c r="G157" s="22"/>
      <c r="H157" s="22"/>
      <c r="I157" s="22"/>
      <c r="J157" s="40"/>
      <c r="K157" s="22"/>
      <c r="L157" s="22"/>
      <c r="M157" s="22"/>
      <c r="N157" s="22"/>
      <c r="O157" s="22"/>
      <c r="P157" s="22"/>
      <c r="Q157" s="22"/>
      <c r="R157" s="22"/>
      <c r="S157" s="22"/>
      <c r="T157" s="22"/>
      <c r="U157" s="22"/>
      <c r="V157" s="22"/>
      <c r="W157" s="22"/>
      <c r="X157" s="22"/>
      <c r="Y157" s="22"/>
      <c r="Z157" s="22"/>
      <c r="AA157" s="22"/>
      <c r="AB157" s="22"/>
      <c r="AC157" s="22"/>
      <c r="AD157" s="22"/>
      <c r="AE157" s="22"/>
    </row>
    <row r="158" spans="1:31">
      <c r="A158" s="22"/>
      <c r="B158" s="22"/>
      <c r="C158" s="22"/>
      <c r="D158" s="22"/>
      <c r="E158" s="22"/>
      <c r="F158" s="22"/>
      <c r="G158" s="22"/>
      <c r="H158" s="22"/>
      <c r="I158" s="22"/>
      <c r="J158" s="40"/>
      <c r="K158" s="22"/>
      <c r="L158" s="22"/>
      <c r="M158" s="22"/>
      <c r="N158" s="22"/>
      <c r="O158" s="22"/>
      <c r="P158" s="22"/>
      <c r="Q158" s="22"/>
      <c r="R158" s="22"/>
      <c r="S158" s="22"/>
      <c r="T158" s="22"/>
      <c r="U158" s="22"/>
      <c r="V158" s="22"/>
      <c r="W158" s="22"/>
      <c r="X158" s="22"/>
      <c r="Y158" s="22"/>
      <c r="Z158" s="22"/>
      <c r="AA158" s="22"/>
      <c r="AB158" s="22"/>
      <c r="AC158" s="22"/>
      <c r="AD158" s="22"/>
      <c r="AE158" s="22"/>
    </row>
    <row r="159" spans="1:31">
      <c r="A159" s="22"/>
      <c r="B159" s="22"/>
      <c r="C159" s="22"/>
      <c r="D159" s="22"/>
      <c r="E159" s="22"/>
      <c r="F159" s="22"/>
      <c r="G159" s="22"/>
      <c r="H159" s="22"/>
      <c r="I159" s="22"/>
      <c r="J159" s="40"/>
      <c r="K159" s="22"/>
      <c r="L159" s="22"/>
      <c r="M159" s="22"/>
      <c r="N159" s="22"/>
      <c r="O159" s="22"/>
      <c r="P159" s="22"/>
      <c r="Q159" s="22"/>
      <c r="R159" s="22"/>
      <c r="S159" s="22"/>
      <c r="T159" s="22"/>
      <c r="U159" s="22"/>
      <c r="V159" s="22"/>
      <c r="W159" s="22"/>
      <c r="X159" s="22"/>
      <c r="Y159" s="22"/>
      <c r="Z159" s="22"/>
      <c r="AA159" s="22"/>
      <c r="AB159" s="22"/>
      <c r="AC159" s="22"/>
      <c r="AD159" s="22"/>
      <c r="AE159" s="22"/>
    </row>
    <row r="160" spans="1:31">
      <c r="A160" s="22"/>
      <c r="B160" s="22"/>
      <c r="C160" s="22"/>
      <c r="D160" s="22"/>
      <c r="E160" s="22"/>
      <c r="F160" s="22"/>
      <c r="G160" s="22"/>
      <c r="H160" s="22"/>
      <c r="I160" s="22"/>
      <c r="J160" s="40"/>
      <c r="K160" s="22"/>
      <c r="L160" s="22"/>
      <c r="M160" s="22"/>
      <c r="N160" s="22"/>
      <c r="O160" s="22"/>
      <c r="P160" s="22"/>
      <c r="Q160" s="22"/>
      <c r="R160" s="22"/>
      <c r="S160" s="22"/>
      <c r="T160" s="22"/>
      <c r="U160" s="22"/>
      <c r="V160" s="22"/>
      <c r="W160" s="22"/>
      <c r="X160" s="22"/>
      <c r="Y160" s="22"/>
      <c r="Z160" s="22"/>
      <c r="AA160" s="22"/>
      <c r="AB160" s="22"/>
      <c r="AC160" s="22"/>
      <c r="AD160" s="22"/>
      <c r="AE160" s="22"/>
    </row>
    <row r="161" spans="1:31">
      <c r="A161" s="22"/>
      <c r="B161" s="22"/>
      <c r="C161" s="22"/>
      <c r="D161" s="22"/>
      <c r="E161" s="22"/>
      <c r="F161" s="22"/>
      <c r="G161" s="22"/>
      <c r="H161" s="22"/>
      <c r="I161" s="22"/>
      <c r="J161" s="40"/>
      <c r="K161" s="22"/>
      <c r="L161" s="22"/>
      <c r="M161" s="22"/>
      <c r="N161" s="22"/>
      <c r="O161" s="22"/>
      <c r="P161" s="22"/>
      <c r="Q161" s="22"/>
      <c r="R161" s="22"/>
      <c r="S161" s="22"/>
      <c r="T161" s="22"/>
      <c r="U161" s="22"/>
      <c r="V161" s="22"/>
      <c r="W161" s="22"/>
      <c r="X161" s="22"/>
      <c r="Y161" s="22"/>
      <c r="Z161" s="22"/>
      <c r="AA161" s="22"/>
      <c r="AB161" s="22"/>
      <c r="AC161" s="22"/>
      <c r="AD161" s="22"/>
      <c r="AE161" s="22"/>
    </row>
    <row r="162" spans="1:31">
      <c r="A162" s="22"/>
      <c r="B162" s="22"/>
      <c r="C162" s="22"/>
      <c r="D162" s="22"/>
      <c r="E162" s="22"/>
      <c r="F162" s="22"/>
      <c r="G162" s="22"/>
      <c r="H162" s="22"/>
      <c r="I162" s="22"/>
      <c r="J162" s="40"/>
      <c r="K162" s="22"/>
      <c r="L162" s="22"/>
      <c r="M162" s="22"/>
      <c r="N162" s="22"/>
      <c r="O162" s="22"/>
      <c r="P162" s="22"/>
      <c r="Q162" s="22"/>
      <c r="R162" s="22"/>
      <c r="S162" s="22"/>
      <c r="T162" s="22"/>
      <c r="U162" s="22"/>
      <c r="V162" s="22"/>
      <c r="W162" s="22"/>
      <c r="X162" s="22"/>
      <c r="Y162" s="22"/>
      <c r="Z162" s="22"/>
      <c r="AA162" s="22"/>
      <c r="AB162" s="22"/>
      <c r="AC162" s="22"/>
      <c r="AD162" s="22"/>
      <c r="AE162" s="22"/>
    </row>
    <row r="163" spans="1:31">
      <c r="A163" s="22"/>
      <c r="B163" s="22"/>
      <c r="C163" s="22"/>
      <c r="D163" s="22"/>
      <c r="E163" s="22"/>
      <c r="F163" s="22"/>
      <c r="G163" s="22"/>
      <c r="H163" s="22"/>
      <c r="I163" s="22"/>
      <c r="J163" s="40"/>
      <c r="K163" s="22"/>
      <c r="L163" s="22"/>
      <c r="M163" s="22"/>
      <c r="N163" s="22"/>
      <c r="O163" s="22"/>
      <c r="P163" s="22"/>
      <c r="Q163" s="22"/>
      <c r="R163" s="22"/>
      <c r="S163" s="22"/>
      <c r="T163" s="22"/>
      <c r="U163" s="22"/>
      <c r="V163" s="22"/>
      <c r="W163" s="22"/>
      <c r="X163" s="22"/>
      <c r="Y163" s="22"/>
      <c r="Z163" s="22"/>
      <c r="AA163" s="22"/>
      <c r="AB163" s="22"/>
      <c r="AC163" s="22"/>
      <c r="AD163" s="22"/>
      <c r="AE163" s="22"/>
    </row>
    <row r="164" spans="1:31">
      <c r="A164" s="22"/>
      <c r="B164" s="22"/>
      <c r="C164" s="22"/>
      <c r="D164" s="22"/>
      <c r="E164" s="22"/>
      <c r="F164" s="22"/>
      <c r="G164" s="22"/>
      <c r="H164" s="22"/>
      <c r="I164" s="22"/>
      <c r="J164" s="40"/>
      <c r="K164" s="22"/>
      <c r="L164" s="22"/>
      <c r="M164" s="22"/>
      <c r="N164" s="22"/>
      <c r="O164" s="22"/>
      <c r="P164" s="22"/>
      <c r="Q164" s="22"/>
      <c r="R164" s="22"/>
      <c r="S164" s="22"/>
      <c r="T164" s="22"/>
      <c r="U164" s="22"/>
      <c r="V164" s="22"/>
      <c r="W164" s="22"/>
      <c r="X164" s="22"/>
      <c r="Y164" s="22"/>
      <c r="Z164" s="22"/>
      <c r="AA164" s="22"/>
      <c r="AB164" s="22"/>
      <c r="AC164" s="22"/>
      <c r="AD164" s="22"/>
      <c r="AE164" s="22"/>
    </row>
    <row r="165" spans="1:31">
      <c r="A165" s="22"/>
      <c r="B165" s="22"/>
      <c r="C165" s="22"/>
      <c r="D165" s="22"/>
      <c r="E165" s="22"/>
      <c r="F165" s="22"/>
      <c r="G165" s="22"/>
      <c r="H165" s="22"/>
      <c r="I165" s="22"/>
      <c r="J165" s="40"/>
      <c r="K165" s="22"/>
      <c r="L165" s="22"/>
      <c r="M165" s="22"/>
      <c r="N165" s="22"/>
      <c r="O165" s="22"/>
      <c r="P165" s="22"/>
      <c r="Q165" s="22"/>
      <c r="R165" s="22"/>
      <c r="S165" s="22"/>
      <c r="T165" s="22"/>
      <c r="U165" s="22"/>
      <c r="V165" s="22"/>
      <c r="W165" s="22"/>
      <c r="X165" s="22"/>
      <c r="Y165" s="22"/>
      <c r="Z165" s="22"/>
      <c r="AA165" s="22"/>
      <c r="AB165" s="22"/>
      <c r="AC165" s="22"/>
      <c r="AD165" s="22"/>
      <c r="AE165" s="22"/>
    </row>
    <row r="166" spans="1:31">
      <c r="A166" s="22"/>
      <c r="B166" s="22"/>
      <c r="C166" s="22"/>
      <c r="D166" s="22"/>
      <c r="E166" s="22"/>
      <c r="F166" s="22"/>
      <c r="G166" s="22"/>
      <c r="H166" s="22"/>
      <c r="I166" s="22"/>
      <c r="J166" s="40"/>
      <c r="K166" s="22"/>
      <c r="L166" s="22"/>
      <c r="M166" s="22"/>
      <c r="N166" s="22"/>
      <c r="O166" s="22"/>
      <c r="P166" s="22"/>
      <c r="Q166" s="22"/>
      <c r="R166" s="22"/>
      <c r="S166" s="22"/>
      <c r="T166" s="22"/>
      <c r="U166" s="22"/>
      <c r="V166" s="22"/>
      <c r="W166" s="22"/>
      <c r="X166" s="22"/>
      <c r="Y166" s="22"/>
      <c r="Z166" s="22"/>
      <c r="AA166" s="22"/>
      <c r="AB166" s="22"/>
      <c r="AC166" s="22"/>
      <c r="AD166" s="22"/>
      <c r="AE166" s="22"/>
    </row>
    <row r="167" spans="1:31">
      <c r="A167" s="22"/>
      <c r="B167" s="22"/>
      <c r="C167" s="22"/>
      <c r="D167" s="22"/>
      <c r="E167" s="22"/>
      <c r="F167" s="22"/>
      <c r="G167" s="22"/>
      <c r="H167" s="22"/>
      <c r="I167" s="22"/>
      <c r="J167" s="40"/>
      <c r="K167" s="22"/>
      <c r="L167" s="22"/>
      <c r="M167" s="22"/>
      <c r="N167" s="22"/>
      <c r="O167" s="22"/>
      <c r="P167" s="22"/>
      <c r="Q167" s="22"/>
      <c r="R167" s="22"/>
      <c r="S167" s="22"/>
      <c r="T167" s="22"/>
      <c r="U167" s="22"/>
      <c r="V167" s="22"/>
      <c r="W167" s="22"/>
      <c r="X167" s="22"/>
      <c r="Y167" s="22"/>
      <c r="Z167" s="22"/>
      <c r="AA167" s="22"/>
      <c r="AB167" s="22"/>
      <c r="AC167" s="22"/>
      <c r="AD167" s="22"/>
      <c r="AE167" s="22"/>
    </row>
    <row r="168" spans="1:31">
      <c r="A168" s="22"/>
      <c r="B168" s="22"/>
      <c r="C168" s="22"/>
      <c r="D168" s="22"/>
      <c r="E168" s="22"/>
      <c r="F168" s="22"/>
      <c r="G168" s="22"/>
      <c r="H168" s="22"/>
      <c r="I168" s="22"/>
      <c r="J168" s="40"/>
      <c r="K168" s="22"/>
      <c r="L168" s="22"/>
      <c r="M168" s="22"/>
      <c r="N168" s="22"/>
      <c r="O168" s="22"/>
      <c r="P168" s="22"/>
      <c r="Q168" s="22"/>
      <c r="R168" s="22"/>
      <c r="S168" s="22"/>
      <c r="T168" s="22"/>
      <c r="U168" s="22"/>
      <c r="V168" s="22"/>
      <c r="W168" s="22"/>
      <c r="X168" s="22"/>
      <c r="Y168" s="22"/>
      <c r="Z168" s="22"/>
      <c r="AA168" s="22"/>
      <c r="AB168" s="22"/>
      <c r="AC168" s="22"/>
      <c r="AD168" s="22"/>
      <c r="AE168" s="22"/>
    </row>
    <row r="169" spans="1:31">
      <c r="A169" s="22"/>
      <c r="B169" s="22"/>
      <c r="C169" s="22"/>
      <c r="D169" s="22"/>
      <c r="E169" s="22"/>
      <c r="F169" s="22"/>
      <c r="G169" s="22"/>
      <c r="H169" s="22"/>
      <c r="I169" s="22"/>
      <c r="J169" s="40"/>
      <c r="K169" s="22"/>
      <c r="L169" s="22"/>
      <c r="M169" s="22"/>
      <c r="N169" s="22"/>
      <c r="O169" s="22"/>
      <c r="P169" s="22"/>
      <c r="Q169" s="22"/>
      <c r="R169" s="22"/>
      <c r="S169" s="22"/>
      <c r="T169" s="22"/>
      <c r="U169" s="22"/>
      <c r="V169" s="22"/>
      <c r="W169" s="22"/>
      <c r="X169" s="22"/>
      <c r="Y169" s="22"/>
      <c r="Z169" s="22"/>
      <c r="AA169" s="22"/>
      <c r="AB169" s="22"/>
      <c r="AC169" s="22"/>
      <c r="AD169" s="22"/>
      <c r="AE169" s="22"/>
    </row>
    <row r="170" spans="1:31">
      <c r="A170" s="22"/>
      <c r="B170" s="22"/>
      <c r="C170" s="22"/>
      <c r="D170" s="22"/>
      <c r="E170" s="22"/>
      <c r="F170" s="22"/>
      <c r="G170" s="22"/>
      <c r="H170" s="22"/>
      <c r="I170" s="22"/>
      <c r="J170" s="40"/>
      <c r="K170" s="22"/>
      <c r="L170" s="22"/>
      <c r="M170" s="22"/>
      <c r="N170" s="22"/>
      <c r="O170" s="22"/>
      <c r="P170" s="22"/>
      <c r="Q170" s="22"/>
      <c r="R170" s="22"/>
      <c r="S170" s="22"/>
      <c r="T170" s="22"/>
      <c r="U170" s="22"/>
      <c r="V170" s="22"/>
      <c r="W170" s="22"/>
      <c r="X170" s="22"/>
      <c r="Y170" s="22"/>
      <c r="Z170" s="22"/>
      <c r="AA170" s="22"/>
      <c r="AB170" s="22"/>
      <c r="AC170" s="22"/>
      <c r="AD170" s="22"/>
      <c r="AE170" s="22"/>
    </row>
    <row r="171" spans="1:31">
      <c r="A171" s="22"/>
      <c r="B171" s="22"/>
      <c r="C171" s="22"/>
      <c r="D171" s="22"/>
      <c r="E171" s="22"/>
      <c r="F171" s="22"/>
      <c r="G171" s="22"/>
      <c r="H171" s="22"/>
      <c r="I171" s="22"/>
      <c r="J171" s="40"/>
      <c r="K171" s="22"/>
      <c r="L171" s="22"/>
      <c r="M171" s="22"/>
      <c r="N171" s="22"/>
      <c r="O171" s="22"/>
      <c r="P171" s="22"/>
      <c r="Q171" s="22"/>
      <c r="R171" s="22"/>
      <c r="S171" s="22"/>
      <c r="T171" s="22"/>
      <c r="U171" s="22"/>
      <c r="V171" s="22"/>
      <c r="W171" s="22"/>
      <c r="X171" s="22"/>
      <c r="Y171" s="22"/>
      <c r="Z171" s="22"/>
      <c r="AA171" s="22"/>
      <c r="AB171" s="22"/>
      <c r="AC171" s="22"/>
      <c r="AD171" s="22"/>
      <c r="AE171" s="22"/>
    </row>
    <row r="172" spans="1:31">
      <c r="A172" s="22"/>
      <c r="B172" s="22"/>
      <c r="C172" s="22"/>
      <c r="D172" s="22"/>
      <c r="E172" s="22"/>
      <c r="F172" s="22"/>
      <c r="G172" s="22"/>
      <c r="H172" s="22"/>
      <c r="I172" s="22"/>
      <c r="J172" s="40"/>
      <c r="K172" s="22"/>
      <c r="L172" s="22"/>
      <c r="M172" s="22"/>
      <c r="N172" s="22"/>
      <c r="O172" s="22"/>
      <c r="P172" s="22"/>
      <c r="Q172" s="22"/>
      <c r="R172" s="22"/>
      <c r="S172" s="22"/>
      <c r="T172" s="22"/>
      <c r="U172" s="22"/>
      <c r="V172" s="22"/>
      <c r="W172" s="22"/>
      <c r="X172" s="22"/>
      <c r="Y172" s="22"/>
      <c r="Z172" s="22"/>
      <c r="AA172" s="22"/>
      <c r="AB172" s="22"/>
      <c r="AC172" s="22"/>
      <c r="AD172" s="22"/>
      <c r="AE172" s="22"/>
    </row>
    <row r="173" spans="1:31">
      <c r="A173" s="22"/>
      <c r="B173" s="22"/>
      <c r="C173" s="22"/>
      <c r="D173" s="22"/>
      <c r="E173" s="22"/>
      <c r="F173" s="22"/>
      <c r="G173" s="22"/>
      <c r="H173" s="22"/>
      <c r="I173" s="22"/>
      <c r="J173" s="40"/>
      <c r="K173" s="22"/>
      <c r="L173" s="22"/>
      <c r="M173" s="22"/>
      <c r="N173" s="22"/>
      <c r="O173" s="22"/>
      <c r="P173" s="22"/>
      <c r="Q173" s="22"/>
      <c r="R173" s="22"/>
      <c r="S173" s="22"/>
      <c r="T173" s="22"/>
      <c r="U173" s="22"/>
      <c r="V173" s="22"/>
      <c r="W173" s="22"/>
      <c r="X173" s="22"/>
      <c r="Y173" s="22"/>
      <c r="Z173" s="22"/>
      <c r="AA173" s="22"/>
      <c r="AB173" s="22"/>
      <c r="AC173" s="22"/>
      <c r="AD173" s="22"/>
      <c r="AE173" s="22"/>
    </row>
    <row r="174" spans="1:31">
      <c r="A174" s="22"/>
      <c r="B174" s="22"/>
      <c r="C174" s="22"/>
      <c r="D174" s="22"/>
      <c r="E174" s="22"/>
      <c r="F174" s="22"/>
      <c r="G174" s="22"/>
      <c r="H174" s="22"/>
      <c r="I174" s="22"/>
      <c r="J174" s="40"/>
      <c r="K174" s="22"/>
      <c r="L174" s="22"/>
      <c r="M174" s="22"/>
      <c r="N174" s="22"/>
      <c r="O174" s="22"/>
      <c r="P174" s="22"/>
      <c r="Q174" s="22"/>
      <c r="R174" s="22"/>
      <c r="S174" s="22"/>
      <c r="T174" s="22"/>
      <c r="U174" s="22"/>
      <c r="V174" s="22"/>
      <c r="W174" s="22"/>
      <c r="X174" s="22"/>
      <c r="Y174" s="22"/>
      <c r="Z174" s="22"/>
      <c r="AA174" s="22"/>
      <c r="AB174" s="22"/>
      <c r="AC174" s="22"/>
      <c r="AD174" s="22"/>
      <c r="AE174" s="22"/>
    </row>
    <row r="175" spans="1:31">
      <c r="A175" s="22"/>
      <c r="B175" s="22"/>
      <c r="C175" s="22"/>
      <c r="D175" s="22"/>
      <c r="E175" s="22"/>
      <c r="F175" s="22"/>
      <c r="G175" s="22"/>
      <c r="H175" s="22"/>
      <c r="I175" s="22"/>
      <c r="J175" s="40"/>
      <c r="K175" s="22"/>
      <c r="L175" s="22"/>
      <c r="M175" s="22"/>
      <c r="N175" s="22"/>
      <c r="O175" s="22"/>
      <c r="P175" s="22"/>
      <c r="Q175" s="22"/>
      <c r="R175" s="22"/>
      <c r="S175" s="22"/>
      <c r="T175" s="22"/>
      <c r="U175" s="22"/>
      <c r="V175" s="22"/>
      <c r="W175" s="22"/>
      <c r="X175" s="22"/>
      <c r="Y175" s="22"/>
      <c r="Z175" s="22"/>
      <c r="AA175" s="22"/>
      <c r="AB175" s="22"/>
      <c r="AC175" s="22"/>
      <c r="AD175" s="22"/>
      <c r="AE175" s="22"/>
    </row>
    <row r="176" spans="1:31">
      <c r="A176" s="22"/>
      <c r="B176" s="22"/>
      <c r="C176" s="22"/>
      <c r="D176" s="22"/>
      <c r="E176" s="22"/>
      <c r="F176" s="22"/>
      <c r="G176" s="22"/>
      <c r="H176" s="22"/>
      <c r="I176" s="22"/>
      <c r="J176" s="40"/>
      <c r="K176" s="22"/>
      <c r="L176" s="22"/>
      <c r="M176" s="22"/>
      <c r="N176" s="22"/>
      <c r="O176" s="22"/>
      <c r="P176" s="22"/>
      <c r="Q176" s="22"/>
      <c r="R176" s="22"/>
      <c r="S176" s="22"/>
      <c r="T176" s="22"/>
      <c r="U176" s="22"/>
      <c r="V176" s="22"/>
      <c r="W176" s="22"/>
      <c r="X176" s="22"/>
      <c r="Y176" s="22"/>
      <c r="Z176" s="22"/>
      <c r="AA176" s="22"/>
      <c r="AB176" s="22"/>
      <c r="AC176" s="22"/>
      <c r="AD176" s="22"/>
      <c r="AE176" s="22"/>
    </row>
    <row r="177" spans="1:31">
      <c r="A177" s="22"/>
      <c r="B177" s="22"/>
      <c r="C177" s="22"/>
      <c r="D177" s="22"/>
      <c r="E177" s="22"/>
      <c r="F177" s="22"/>
      <c r="G177" s="22"/>
      <c r="H177" s="22"/>
      <c r="I177" s="22"/>
      <c r="J177" s="40"/>
      <c r="K177" s="22"/>
      <c r="L177" s="22"/>
      <c r="M177" s="22"/>
      <c r="N177" s="22"/>
      <c r="O177" s="22"/>
      <c r="P177" s="22"/>
      <c r="Q177" s="22"/>
      <c r="R177" s="22"/>
      <c r="S177" s="22"/>
      <c r="T177" s="22"/>
      <c r="U177" s="22"/>
      <c r="V177" s="22"/>
      <c r="W177" s="22"/>
      <c r="X177" s="22"/>
      <c r="Y177" s="22"/>
      <c r="Z177" s="22"/>
      <c r="AA177" s="22"/>
      <c r="AB177" s="22"/>
      <c r="AC177" s="22"/>
      <c r="AD177" s="22"/>
      <c r="AE177" s="22"/>
    </row>
    <row r="178" spans="1:31">
      <c r="A178" s="22"/>
      <c r="B178" s="22"/>
      <c r="C178" s="22"/>
      <c r="D178" s="22"/>
      <c r="E178" s="22"/>
      <c r="F178" s="22"/>
      <c r="G178" s="22"/>
      <c r="H178" s="22"/>
      <c r="I178" s="22"/>
      <c r="J178" s="40"/>
      <c r="K178" s="22"/>
      <c r="L178" s="22"/>
      <c r="M178" s="22"/>
      <c r="N178" s="22"/>
      <c r="O178" s="22"/>
      <c r="P178" s="22"/>
      <c r="Q178" s="22"/>
      <c r="R178" s="22"/>
      <c r="S178" s="22"/>
      <c r="T178" s="22"/>
      <c r="U178" s="22"/>
      <c r="V178" s="22"/>
      <c r="W178" s="22"/>
      <c r="X178" s="22"/>
      <c r="Y178" s="22"/>
      <c r="Z178" s="22"/>
      <c r="AA178" s="22"/>
      <c r="AB178" s="22"/>
      <c r="AC178" s="22"/>
      <c r="AD178" s="22"/>
      <c r="AE178" s="22"/>
    </row>
    <row r="179" spans="1:31">
      <c r="A179" s="22"/>
      <c r="B179" s="22"/>
      <c r="C179" s="22"/>
      <c r="D179" s="22"/>
      <c r="E179" s="22"/>
      <c r="F179" s="22"/>
      <c r="G179" s="22"/>
      <c r="H179" s="22"/>
      <c r="I179" s="22"/>
      <c r="J179" s="40"/>
      <c r="K179" s="22"/>
      <c r="L179" s="22"/>
      <c r="M179" s="22"/>
      <c r="N179" s="22"/>
      <c r="O179" s="22"/>
      <c r="P179" s="22"/>
      <c r="Q179" s="22"/>
      <c r="R179" s="22"/>
      <c r="S179" s="22"/>
      <c r="T179" s="22"/>
      <c r="U179" s="22"/>
      <c r="V179" s="22"/>
      <c r="W179" s="22"/>
      <c r="X179" s="22"/>
      <c r="Y179" s="22"/>
      <c r="Z179" s="22"/>
      <c r="AA179" s="22"/>
      <c r="AB179" s="22"/>
      <c r="AC179" s="22"/>
      <c r="AD179" s="22"/>
      <c r="AE179" s="22"/>
    </row>
    <row r="180" spans="1:31">
      <c r="A180" s="22"/>
      <c r="B180" s="22"/>
      <c r="C180" s="22"/>
      <c r="D180" s="22"/>
      <c r="E180" s="22"/>
      <c r="F180" s="22"/>
      <c r="G180" s="22"/>
      <c r="H180" s="22"/>
      <c r="I180" s="22"/>
      <c r="J180" s="40"/>
      <c r="K180" s="22"/>
      <c r="L180" s="22"/>
      <c r="M180" s="22"/>
      <c r="N180" s="22"/>
      <c r="O180" s="22"/>
      <c r="P180" s="22"/>
      <c r="Q180" s="22"/>
      <c r="R180" s="22"/>
      <c r="S180" s="22"/>
      <c r="T180" s="22"/>
      <c r="U180" s="22"/>
      <c r="V180" s="22"/>
      <c r="W180" s="22"/>
      <c r="X180" s="22"/>
      <c r="Y180" s="22"/>
      <c r="Z180" s="22"/>
      <c r="AA180" s="22"/>
      <c r="AB180" s="22"/>
      <c r="AC180" s="22"/>
      <c r="AD180" s="22"/>
      <c r="AE180" s="22"/>
    </row>
    <row r="181" spans="1:31">
      <c r="A181" s="22"/>
      <c r="B181" s="22"/>
      <c r="C181" s="22"/>
      <c r="D181" s="22"/>
      <c r="E181" s="22"/>
      <c r="F181" s="22"/>
      <c r="G181" s="22"/>
      <c r="H181" s="22"/>
      <c r="I181" s="22"/>
      <c r="J181" s="40"/>
      <c r="K181" s="22"/>
      <c r="L181" s="22"/>
      <c r="M181" s="22"/>
      <c r="N181" s="22"/>
      <c r="O181" s="22"/>
      <c r="P181" s="22"/>
      <c r="Q181" s="22"/>
      <c r="R181" s="22"/>
      <c r="S181" s="22"/>
      <c r="T181" s="22"/>
      <c r="U181" s="22"/>
      <c r="V181" s="22"/>
      <c r="W181" s="22"/>
      <c r="X181" s="22"/>
      <c r="Y181" s="22"/>
      <c r="Z181" s="22"/>
      <c r="AA181" s="22"/>
      <c r="AB181" s="22"/>
      <c r="AC181" s="22"/>
      <c r="AD181" s="22"/>
      <c r="AE181" s="22"/>
    </row>
    <row r="182" spans="1:31">
      <c r="A182" s="22"/>
      <c r="B182" s="22"/>
      <c r="C182" s="22"/>
      <c r="D182" s="22"/>
      <c r="E182" s="22"/>
      <c r="F182" s="22"/>
      <c r="G182" s="22"/>
      <c r="H182" s="22"/>
      <c r="I182" s="22"/>
      <c r="J182" s="40"/>
      <c r="K182" s="22"/>
      <c r="L182" s="22"/>
      <c r="M182" s="22"/>
      <c r="N182" s="22"/>
      <c r="O182" s="22"/>
      <c r="P182" s="22"/>
      <c r="Q182" s="22"/>
      <c r="R182" s="22"/>
      <c r="S182" s="22"/>
      <c r="T182" s="22"/>
      <c r="U182" s="22"/>
      <c r="V182" s="22"/>
      <c r="W182" s="22"/>
      <c r="X182" s="22"/>
      <c r="Y182" s="22"/>
      <c r="Z182" s="22"/>
      <c r="AA182" s="22"/>
      <c r="AB182" s="22"/>
      <c r="AC182" s="22"/>
      <c r="AD182" s="22"/>
      <c r="AE182" s="22"/>
    </row>
    <row r="183" spans="1:31">
      <c r="A183" s="22"/>
      <c r="B183" s="22"/>
      <c r="C183" s="22"/>
      <c r="D183" s="22"/>
      <c r="E183" s="22"/>
      <c r="F183" s="22"/>
      <c r="G183" s="22"/>
      <c r="H183" s="22"/>
      <c r="I183" s="22"/>
      <c r="J183" s="40"/>
      <c r="K183" s="22"/>
      <c r="L183" s="22"/>
      <c r="M183" s="22"/>
      <c r="N183" s="22"/>
      <c r="O183" s="22"/>
      <c r="P183" s="22"/>
      <c r="Q183" s="22"/>
      <c r="R183" s="22"/>
      <c r="S183" s="22"/>
      <c r="T183" s="22"/>
      <c r="U183" s="22"/>
      <c r="V183" s="22"/>
      <c r="W183" s="22"/>
      <c r="X183" s="22"/>
      <c r="Y183" s="22"/>
      <c r="Z183" s="22"/>
      <c r="AA183" s="22"/>
      <c r="AB183" s="22"/>
      <c r="AC183" s="22"/>
      <c r="AD183" s="22"/>
      <c r="AE183" s="22"/>
    </row>
    <row r="184" spans="1:31">
      <c r="A184" s="22"/>
      <c r="B184" s="22"/>
      <c r="C184" s="22"/>
      <c r="D184" s="22"/>
      <c r="E184" s="22"/>
      <c r="F184" s="22"/>
      <c r="G184" s="22"/>
      <c r="H184" s="22"/>
      <c r="I184" s="22"/>
      <c r="J184" s="40"/>
      <c r="K184" s="22"/>
      <c r="L184" s="22"/>
      <c r="M184" s="22"/>
      <c r="N184" s="22"/>
      <c r="O184" s="22"/>
      <c r="P184" s="22"/>
      <c r="Q184" s="22"/>
      <c r="R184" s="22"/>
      <c r="S184" s="22"/>
      <c r="T184" s="22"/>
      <c r="U184" s="22"/>
      <c r="V184" s="22"/>
      <c r="W184" s="22"/>
      <c r="X184" s="22"/>
      <c r="Y184" s="22"/>
      <c r="Z184" s="22"/>
      <c r="AA184" s="22"/>
      <c r="AB184" s="22"/>
      <c r="AC184" s="22"/>
      <c r="AD184" s="22"/>
      <c r="AE184" s="22"/>
    </row>
    <row r="185" spans="1:31">
      <c r="A185" s="22"/>
      <c r="B185" s="22"/>
      <c r="C185" s="22"/>
      <c r="D185" s="22"/>
      <c r="E185" s="22"/>
      <c r="F185" s="22"/>
      <c r="G185" s="22"/>
      <c r="H185" s="22"/>
      <c r="I185" s="22"/>
      <c r="J185" s="40"/>
      <c r="K185" s="22"/>
      <c r="L185" s="22"/>
      <c r="M185" s="22"/>
      <c r="N185" s="22"/>
      <c r="O185" s="22"/>
      <c r="P185" s="22"/>
      <c r="Q185" s="22"/>
      <c r="R185" s="22"/>
      <c r="S185" s="22"/>
      <c r="T185" s="22"/>
      <c r="U185" s="22"/>
      <c r="V185" s="22"/>
      <c r="W185" s="22"/>
      <c r="X185" s="22"/>
      <c r="Y185" s="22"/>
      <c r="Z185" s="22"/>
      <c r="AA185" s="22"/>
      <c r="AB185" s="22"/>
      <c r="AC185" s="22"/>
      <c r="AD185" s="22"/>
      <c r="AE185" s="22"/>
    </row>
    <row r="186" spans="1:31">
      <c r="A186" s="22"/>
      <c r="B186" s="22"/>
      <c r="C186" s="22"/>
      <c r="D186" s="22"/>
      <c r="E186" s="22"/>
      <c r="F186" s="22"/>
      <c r="G186" s="22"/>
      <c r="H186" s="22"/>
      <c r="I186" s="22"/>
      <c r="J186" s="40"/>
      <c r="K186" s="22"/>
      <c r="L186" s="22"/>
      <c r="M186" s="22"/>
      <c r="N186" s="22"/>
      <c r="O186" s="22"/>
      <c r="P186" s="22"/>
      <c r="Q186" s="22"/>
      <c r="R186" s="22"/>
      <c r="S186" s="22"/>
      <c r="T186" s="22"/>
      <c r="U186" s="22"/>
      <c r="V186" s="22"/>
      <c r="W186" s="22"/>
      <c r="X186" s="22"/>
      <c r="Y186" s="22"/>
      <c r="Z186" s="22"/>
      <c r="AA186" s="22"/>
      <c r="AB186" s="22"/>
      <c r="AC186" s="22"/>
      <c r="AD186" s="22"/>
      <c r="AE186" s="22"/>
    </row>
    <row r="187" spans="1:31">
      <c r="A187" s="22"/>
      <c r="B187" s="22"/>
      <c r="C187" s="22"/>
      <c r="D187" s="22"/>
      <c r="E187" s="22"/>
      <c r="F187" s="22"/>
      <c r="G187" s="22"/>
      <c r="H187" s="22"/>
      <c r="I187" s="22"/>
      <c r="J187" s="40"/>
      <c r="K187" s="22"/>
      <c r="L187" s="22"/>
      <c r="M187" s="22"/>
      <c r="N187" s="22"/>
      <c r="O187" s="22"/>
      <c r="P187" s="22"/>
      <c r="Q187" s="22"/>
      <c r="R187" s="22"/>
      <c r="S187" s="22"/>
      <c r="T187" s="22"/>
      <c r="U187" s="22"/>
      <c r="V187" s="22"/>
      <c r="W187" s="22"/>
      <c r="X187" s="22"/>
      <c r="Y187" s="22"/>
      <c r="Z187" s="22"/>
      <c r="AA187" s="22"/>
      <c r="AB187" s="22"/>
      <c r="AC187" s="22"/>
      <c r="AD187" s="22"/>
      <c r="AE187" s="22"/>
    </row>
    <row r="188" spans="1:31">
      <c r="A188" s="22"/>
      <c r="B188" s="22"/>
      <c r="C188" s="22"/>
      <c r="D188" s="22"/>
      <c r="E188" s="22"/>
      <c r="F188" s="22"/>
      <c r="G188" s="22"/>
      <c r="H188" s="22"/>
      <c r="I188" s="22"/>
      <c r="J188" s="40"/>
      <c r="K188" s="22"/>
      <c r="L188" s="22"/>
      <c r="M188" s="22"/>
      <c r="N188" s="22"/>
      <c r="O188" s="22"/>
      <c r="P188" s="22"/>
      <c r="Q188" s="22"/>
      <c r="R188" s="22"/>
      <c r="S188" s="22"/>
      <c r="T188" s="22"/>
      <c r="U188" s="22"/>
      <c r="V188" s="22"/>
      <c r="W188" s="22"/>
      <c r="X188" s="22"/>
      <c r="Y188" s="22"/>
      <c r="Z188" s="22"/>
      <c r="AA188" s="22"/>
      <c r="AB188" s="22"/>
      <c r="AC188" s="22"/>
      <c r="AD188" s="22"/>
      <c r="AE188" s="22"/>
    </row>
    <row r="189" spans="1:31">
      <c r="A189" s="22"/>
      <c r="B189" s="22"/>
      <c r="C189" s="22"/>
      <c r="D189" s="22"/>
      <c r="E189" s="22"/>
      <c r="F189" s="22"/>
      <c r="G189" s="22"/>
      <c r="H189" s="22"/>
      <c r="I189" s="22"/>
      <c r="J189" s="40"/>
      <c r="K189" s="22"/>
      <c r="L189" s="22"/>
      <c r="M189" s="22"/>
      <c r="N189" s="22"/>
      <c r="O189" s="22"/>
      <c r="P189" s="22"/>
      <c r="Q189" s="22"/>
      <c r="R189" s="22"/>
      <c r="S189" s="22"/>
      <c r="T189" s="22"/>
      <c r="U189" s="22"/>
      <c r="V189" s="22"/>
      <c r="W189" s="22"/>
      <c r="X189" s="22"/>
      <c r="Y189" s="22"/>
      <c r="Z189" s="22"/>
      <c r="AA189" s="22"/>
      <c r="AB189" s="22"/>
      <c r="AC189" s="22"/>
      <c r="AD189" s="22"/>
      <c r="AE189" s="22"/>
    </row>
    <row r="190" spans="1:31">
      <c r="A190" s="22"/>
      <c r="B190" s="22"/>
      <c r="C190" s="22"/>
      <c r="D190" s="22"/>
      <c r="E190" s="22"/>
      <c r="F190" s="22"/>
      <c r="G190" s="22"/>
      <c r="H190" s="22"/>
      <c r="I190" s="22"/>
      <c r="J190" s="40"/>
      <c r="K190" s="22"/>
      <c r="L190" s="22"/>
      <c r="M190" s="22"/>
      <c r="N190" s="22"/>
      <c r="O190" s="22"/>
      <c r="P190" s="22"/>
      <c r="Q190" s="22"/>
      <c r="R190" s="22"/>
      <c r="S190" s="22"/>
      <c r="T190" s="22"/>
      <c r="U190" s="22"/>
      <c r="V190" s="22"/>
      <c r="W190" s="22"/>
      <c r="X190" s="22"/>
      <c r="Y190" s="22"/>
      <c r="Z190" s="22"/>
      <c r="AA190" s="22"/>
      <c r="AB190" s="22"/>
      <c r="AC190" s="22"/>
      <c r="AD190" s="22"/>
      <c r="AE190" s="22"/>
    </row>
    <row r="191" spans="1:31">
      <c r="A191" s="22"/>
      <c r="B191" s="22"/>
      <c r="C191" s="22"/>
      <c r="D191" s="22"/>
      <c r="E191" s="22"/>
      <c r="F191" s="22"/>
      <c r="G191" s="22"/>
      <c r="H191" s="22"/>
      <c r="I191" s="22"/>
      <c r="J191" s="40"/>
      <c r="K191" s="22"/>
      <c r="L191" s="22"/>
      <c r="M191" s="22"/>
      <c r="N191" s="22"/>
      <c r="O191" s="22"/>
      <c r="P191" s="22"/>
      <c r="Q191" s="22"/>
      <c r="R191" s="22"/>
      <c r="S191" s="22"/>
      <c r="T191" s="22"/>
      <c r="U191" s="22"/>
      <c r="V191" s="22"/>
      <c r="W191" s="22"/>
      <c r="X191" s="22"/>
      <c r="Y191" s="22"/>
      <c r="Z191" s="22"/>
      <c r="AA191" s="22"/>
      <c r="AB191" s="22"/>
      <c r="AC191" s="22"/>
      <c r="AD191" s="22"/>
      <c r="AE191" s="22"/>
    </row>
    <row r="192" spans="1:31">
      <c r="A192" s="22"/>
      <c r="B192" s="22"/>
      <c r="C192" s="22"/>
      <c r="D192" s="22"/>
      <c r="E192" s="22"/>
      <c r="F192" s="22"/>
      <c r="G192" s="22"/>
      <c r="H192" s="22"/>
      <c r="I192" s="22"/>
      <c r="J192" s="40"/>
      <c r="K192" s="22"/>
      <c r="L192" s="22"/>
      <c r="M192" s="22"/>
      <c r="N192" s="22"/>
      <c r="O192" s="22"/>
      <c r="P192" s="22"/>
      <c r="Q192" s="22"/>
      <c r="R192" s="22"/>
      <c r="S192" s="22"/>
      <c r="T192" s="22"/>
      <c r="U192" s="22"/>
      <c r="V192" s="22"/>
      <c r="W192" s="22"/>
      <c r="X192" s="22"/>
      <c r="Y192" s="22"/>
      <c r="Z192" s="22"/>
      <c r="AA192" s="22"/>
      <c r="AB192" s="22"/>
      <c r="AC192" s="22"/>
      <c r="AD192" s="22"/>
      <c r="AE192" s="22"/>
    </row>
    <row r="193" spans="1:31">
      <c r="A193" s="22"/>
      <c r="B193" s="22"/>
      <c r="C193" s="22"/>
      <c r="D193" s="22"/>
      <c r="E193" s="22"/>
      <c r="F193" s="22"/>
      <c r="G193" s="22"/>
      <c r="H193" s="22"/>
      <c r="I193" s="22"/>
      <c r="J193" s="40"/>
      <c r="K193" s="22"/>
      <c r="L193" s="22"/>
      <c r="M193" s="22"/>
      <c r="N193" s="22"/>
      <c r="O193" s="22"/>
      <c r="P193" s="22"/>
      <c r="Q193" s="22"/>
      <c r="R193" s="22"/>
      <c r="S193" s="22"/>
      <c r="T193" s="22"/>
      <c r="U193" s="22"/>
      <c r="V193" s="22"/>
      <c r="W193" s="22"/>
      <c r="X193" s="22"/>
      <c r="Y193" s="22"/>
      <c r="Z193" s="22"/>
      <c r="AA193" s="22"/>
      <c r="AB193" s="22"/>
      <c r="AC193" s="22"/>
      <c r="AD193" s="22"/>
      <c r="AE193" s="22"/>
    </row>
    <row r="194" spans="1:31">
      <c r="A194" s="22"/>
      <c r="B194" s="22"/>
      <c r="C194" s="22"/>
      <c r="D194" s="22"/>
      <c r="E194" s="22"/>
      <c r="F194" s="22"/>
      <c r="G194" s="22"/>
      <c r="H194" s="22"/>
      <c r="I194" s="22"/>
      <c r="J194" s="40"/>
      <c r="K194" s="22"/>
      <c r="L194" s="22"/>
      <c r="M194" s="22"/>
      <c r="N194" s="22"/>
      <c r="O194" s="22"/>
      <c r="P194" s="22"/>
      <c r="Q194" s="22"/>
      <c r="R194" s="22"/>
      <c r="S194" s="22"/>
      <c r="T194" s="22"/>
      <c r="U194" s="22"/>
      <c r="V194" s="22"/>
      <c r="W194" s="22"/>
      <c r="X194" s="22"/>
      <c r="Y194" s="22"/>
      <c r="Z194" s="22"/>
      <c r="AA194" s="22"/>
      <c r="AB194" s="22"/>
      <c r="AC194" s="22"/>
      <c r="AD194" s="22"/>
      <c r="AE194" s="22"/>
    </row>
    <row r="195" spans="1:31">
      <c r="A195" s="22"/>
      <c r="B195" s="22"/>
      <c r="C195" s="22"/>
      <c r="D195" s="22"/>
      <c r="E195" s="22"/>
      <c r="F195" s="22"/>
      <c r="G195" s="22"/>
      <c r="H195" s="22"/>
      <c r="I195" s="22"/>
      <c r="J195" s="40"/>
      <c r="K195" s="22"/>
      <c r="L195" s="22"/>
      <c r="M195" s="22"/>
      <c r="N195" s="22"/>
      <c r="O195" s="22"/>
      <c r="P195" s="22"/>
      <c r="Q195" s="22"/>
      <c r="R195" s="22"/>
      <c r="S195" s="22"/>
      <c r="T195" s="22"/>
      <c r="U195" s="22"/>
      <c r="V195" s="22"/>
      <c r="W195" s="22"/>
      <c r="X195" s="22"/>
      <c r="Y195" s="22"/>
      <c r="Z195" s="22"/>
      <c r="AA195" s="22"/>
      <c r="AB195" s="22"/>
      <c r="AC195" s="22"/>
      <c r="AD195" s="22"/>
      <c r="AE195" s="22"/>
    </row>
    <row r="196" spans="1:31">
      <c r="A196" s="22"/>
      <c r="B196" s="22"/>
      <c r="C196" s="22"/>
      <c r="D196" s="22"/>
      <c r="E196" s="22"/>
      <c r="F196" s="22"/>
      <c r="G196" s="22"/>
      <c r="H196" s="22"/>
      <c r="I196" s="22"/>
      <c r="J196" s="40"/>
      <c r="K196" s="22"/>
      <c r="L196" s="22"/>
      <c r="M196" s="22"/>
      <c r="N196" s="22"/>
      <c r="O196" s="22"/>
      <c r="P196" s="22"/>
      <c r="Q196" s="22"/>
      <c r="R196" s="22"/>
      <c r="S196" s="22"/>
      <c r="T196" s="22"/>
      <c r="U196" s="22"/>
      <c r="V196" s="22"/>
      <c r="W196" s="22"/>
      <c r="X196" s="22"/>
      <c r="Y196" s="22"/>
      <c r="Z196" s="22"/>
      <c r="AA196" s="22"/>
      <c r="AB196" s="22"/>
      <c r="AC196" s="22"/>
      <c r="AD196" s="22"/>
      <c r="AE196" s="22"/>
    </row>
    <row r="197" spans="1:31">
      <c r="A197" s="22"/>
      <c r="B197" s="22"/>
      <c r="C197" s="22"/>
      <c r="D197" s="22"/>
      <c r="E197" s="22"/>
      <c r="F197" s="22"/>
      <c r="G197" s="22"/>
      <c r="H197" s="22"/>
      <c r="I197" s="22"/>
      <c r="J197" s="40"/>
      <c r="K197" s="22"/>
      <c r="L197" s="22"/>
      <c r="M197" s="22"/>
      <c r="N197" s="22"/>
      <c r="O197" s="22"/>
      <c r="P197" s="22"/>
      <c r="Q197" s="22"/>
      <c r="R197" s="22"/>
      <c r="S197" s="22"/>
      <c r="T197" s="22"/>
      <c r="U197" s="22"/>
      <c r="V197" s="22"/>
      <c r="W197" s="22"/>
      <c r="X197" s="22"/>
      <c r="Y197" s="22"/>
      <c r="Z197" s="22"/>
      <c r="AA197" s="22"/>
      <c r="AB197" s="22"/>
      <c r="AC197" s="22"/>
      <c r="AD197" s="22"/>
      <c r="AE197" s="22"/>
    </row>
    <row r="198" spans="1:31">
      <c r="A198" s="22"/>
      <c r="B198" s="22"/>
      <c r="C198" s="22"/>
      <c r="D198" s="22"/>
      <c r="E198" s="22"/>
      <c r="F198" s="22"/>
      <c r="G198" s="22"/>
      <c r="H198" s="22"/>
      <c r="I198" s="22"/>
      <c r="J198" s="40"/>
      <c r="K198" s="22"/>
      <c r="L198" s="22"/>
      <c r="M198" s="22"/>
      <c r="N198" s="22"/>
      <c r="O198" s="22"/>
      <c r="P198" s="22"/>
      <c r="Q198" s="22"/>
      <c r="R198" s="22"/>
      <c r="S198" s="22"/>
      <c r="T198" s="22"/>
      <c r="U198" s="22"/>
      <c r="V198" s="22"/>
      <c r="W198" s="22"/>
      <c r="X198" s="22"/>
      <c r="Y198" s="22"/>
      <c r="Z198" s="22"/>
      <c r="AA198" s="22"/>
      <c r="AB198" s="22"/>
      <c r="AC198" s="22"/>
      <c r="AD198" s="22"/>
      <c r="AE198" s="22"/>
    </row>
  </sheetData>
  <mergeCells count="13">
    <mergeCell ref="B1:I1"/>
    <mergeCell ref="B4:I4"/>
    <mergeCell ref="B5:D5"/>
    <mergeCell ref="E5:F5"/>
    <mergeCell ref="G5:I5"/>
    <mergeCell ref="B6:D6"/>
    <mergeCell ref="E6:F6"/>
    <mergeCell ref="G6:I6"/>
    <mergeCell ref="B7:I7"/>
    <mergeCell ref="B9:I9"/>
    <mergeCell ref="C12:I12"/>
    <mergeCell ref="B10:B12"/>
    <mergeCell ref="B2:I3"/>
  </mergeCells>
  <dataValidations count="3">
    <dataValidation type="list" allowBlank="1" showInputMessage="1" showErrorMessage="1" sqref="E6">
      <formula1>"Ⅰ,Ⅱ,Ⅲ,Ⅳ,Ⅴ,"</formula1>
    </dataValidation>
    <dataValidation type="list" allowBlank="1" showInputMessage="1" showErrorMessage="1" sqref="G6">
      <formula1>"ZAYIN,TETH,HE,WAW,ALEPH,"</formula1>
    </dataValidation>
    <dataValidation type="list" allowBlank="1" showInputMessage="1" showErrorMessage="1" sqref="D13">
      <formula1>"10,20,30,40,50,60,70,80,90,100,"</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3</vt:i4>
      </vt:variant>
    </vt:vector>
  </HeadingPairs>
  <TitlesOfParts>
    <vt:vector size="3" baseType="lpstr">
      <vt:lpstr>异想体推荐表</vt:lpstr>
      <vt:lpstr>加班计算器</vt:lpstr>
      <vt:lpstr>(备份用误点)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WPS_1693296891</cp:lastModifiedBy>
  <dcterms:created xsi:type="dcterms:W3CDTF">2026-10-05T11:16:00Z</dcterms:created>
  <dcterms:modified xsi:type="dcterms:W3CDTF">2026-10-05T03:21:16Z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5205B5B1D0B2416BA7757601173239AC_12</vt:lpwstr>
  </property>
  <property fmtid="{D5CDD505-2E9C-101B-9397-08002B2CF9AE}" pid="3" name="KSOProductBuildVer">
    <vt:lpwstr>2052-12.8.2.17149</vt:lpwstr>
  </property>
</Properties>
</file>